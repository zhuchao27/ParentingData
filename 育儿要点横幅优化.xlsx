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680" firstSheet="2" activeTab="2"/>
  </bookViews>
  <sheets>
    <sheet name="开发上传第一批" sheetId="4" state="hidden" r:id="rId1"/>
    <sheet name="开发上传第二批" sheetId="5" state="hidden" r:id="rId2"/>
    <sheet name="二次优化" sheetId="7" r:id="rId3"/>
    <sheet name="push数据（分年龄）" sheetId="9" state="hidden" r:id="rId4"/>
  </sheets>
  <definedNames>
    <definedName name="_xlnm._FilterDatabase" localSheetId="2" hidden="1">二次优化!$A:$XEV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<sst xmlns="http://schemas.openxmlformats.org/spreadsheetml/2006/main" count="4197" uniqueCount="1240">
  <si>
    <t>修改后标题</t>
  </si>
  <si>
    <t>育儿要点ID</t>
  </si>
  <si>
    <t>年</t>
  </si>
  <si>
    <t>月</t>
  </si>
  <si>
    <t>日</t>
  </si>
  <si>
    <t>update `parenting_daily_news_first`  set `pushTitle` ="</t>
  </si>
  <si>
    <t>#baby##relative#，感觉不到奶阵不代表没奶！学会判断宝宝这些表现，轻松掌握哺乳节奏</t>
  </si>
  <si>
    <t>",`updateTime`  = now() WHERE `dnId` =</t>
  </si>
  <si>
    <t>and `ageYear`  =</t>
  </si>
  <si>
    <t>and `ageMonth`  =</t>
  </si>
  <si>
    <t>and `ageDay`  =</t>
  </si>
  <si>
    <t>;</t>
  </si>
  <si>
    <t>月子期间想动不敢动？这7个安全动作躺着就能做，不仅能瘦身，还能恢复盆底肌</t>
  </si>
  <si>
    <t>观察便便和喂奶一样重要！识别9类便便，快速了解#baby#的健康情况</t>
  </si>
  <si>
    <t>产后除了肚子变小，子宫复位、恶露消失、月经恢复……这些关键变化和时间点，你都要了解</t>
  </si>
  <si>
    <t>满月体检不只看身高体重！医生还会检查黄疸、囟门等，收藏这份指南，带#baby#体检不迷茫</t>
  </si>
  <si>
    <t>经常趴和不趴的宝宝，差别不只在头型，还会影响大运动发育！</t>
  </si>
  <si>
    <t>产后肚子大，收腹带要不要买？只有这2种情况建议用，避免影响产后恢复</t>
  </si>
  <si>
    <t>照顾#baby#总是手忙脚乱？这12个护理禁忌，从喂奶到睡觉，一个都别碰</t>
  </si>
  <si>
    <t>乳头被吸破该怎么护理？别等疼了再查，这份“应急处理方法”先存好</t>
  </si>
  <si>
    <t>宝宝没吃糖就不会蛀牙？错！这个常见的吃奶习惯，才是很多宝宝第一颗蛀牙的“元凶”</t>
  </si>
  <si>
    <t>#baby#的辅食马上要有新变化啦！提前了解11个月的辅食要点和一周食谱</t>
  </si>
  <si>
    <t>让宝宝从“不吃青菜”变成“我还要”，你只差这7个巧妙的方法</t>
  </si>
  <si>
    <t>宝宝视频聊天，其实没你想的那么“伤眼”！用对方法，还有这些意想不到的好处</t>
  </si>
  <si>
    <t>宝宝噎住时能救命！每个家长都要学会“海姆立克急救法”，附完整图解，建议收藏备用</t>
  </si>
  <si>
    <t>警惕！这6种玩具很危险💥，快检查#baby#有没有在玩</t>
  </si>
  <si>
    <t>#baby#1岁后，喂养将有4个重要变化，提前了解，顺利过渡到自主吃饭</t>
  </si>
  <si>
    <t>几乎每个宝宝都不爱吃药💊，但提前了解这3个误区，能让喂药过程顺利很多</t>
  </si>
  <si>
    <t>你知道吗？3个月～5岁的宝宝发热抽搐，可能是“热性惊厥”，正确处理记住“三要五不要”</t>
  </si>
  <si>
    <t>给#baby#买食品时，“无糖”“营养强化”这些标签可能都是坑，看懂这2张表很重要</t>
  </si>
  <si>
    <t>不知道怎么陪#baby#玩？哈佛大学的“五步互动法”来了！每天几分钟，刺激大脑发育</t>
  </si>
  <si>
    <t>#baby#1岁后就能吃盐了，但糖、醋、料酒呢？记住这几个关键年龄和每日用量</t>
  </si>
  <si>
    <t>注意！这样牵手可能让宝宝胳膊“脱臼”，5岁以下尤其要当心</t>
  </si>
  <si>
    <t>宝宝正处牙齿🦷发育关键期，适当吃些较硬的食物，以后换牙不容易长“双排牙”</t>
  </si>
  <si>
    <t>给#baby#选学步鞋，别只看软硬，还要看鞋底厚度、鞋头材料、后踝硬度这3点</t>
  </si>
  <si>
    <t>孩子这不吃那不吃，不一定是不爱吃！对照这5个原因调整，吃饭更主动</t>
  </si>
  <si>
    <t>1～1岁半是能力爆发期！每天和#baby#玩7个小游戏，轻松锻炼语言、动作、思维等能力</t>
  </si>
  <si>
    <t>#baby#快1周岁了，水痘疫苗可以安排了！第一剂什么时候打、要打几针？一文说清</t>
  </si>
  <si>
    <t>宝宝突然爱尖叫？不一定是调皮，可能是这些原因，4招让#ta#快速安静下来</t>
  </si>
  <si>
    <t>“开发大脑”能让孩子变聪明吗？来看看科学研究怎么说</t>
  </si>
  <si>
    <t>宝宝总爱摸私处？与其反复说“不可以”，不如先排查这3点，帮#ta#顺利度过好奇期</t>
  </si>
  <si>
    <t>宝宝哭闹难安抚？试试这个小物件，能帮宝宝学会自我安抚，减少哭闹</t>
  </si>
  <si>
    <t>每天趴2～3次，#baby#头型好、抬头早，这3个要点和正确姿势视频快收好</t>
  </si>
  <si>
    <t>宝宝一哭就喂奶？先别急，教你听懂10种哭声，准确辨别宝宝是饿了、困了，还是不舒服</t>
  </si>
  <si>
    <t>#baby#满2个月就能打五联疫苗了，能将12针减少到4针，接种注意事项都在这里</t>
  </si>
  <si>
    <t>宝宝吃奶后哭个不停？不一定是没吃饱，可能是“肠胀气”，2个方法就能缓解</t>
  </si>
  <si>
    <t>宝宝好几天不拉便便，是便秘还是攒肚？对照这篇文章自查，1分钟就能判断</t>
  </si>
  <si>
    <t>产后肚子大？不一定是胖，很可能是腹直肌分离！3步在家自测，判断是否要修复</t>
  </si>
  <si>
    <t>宝宝总爱吃小手睡觉，到底要不要管？关键看这一个标准</t>
  </si>
  <si>
    <t>安抚奶嘴用对了是哄娃神器，用错了可能影响牙齿和睡眠，记住“421”原则是关键</t>
  </si>
  <si>
    <t>除了横抱和竖抱，一两个月的宝宝还能怎么抱？快来解锁各种抱娃姿势</t>
  </si>
  <si>
    <t>每天几分钟被动操，#baby#发育好、睡得香，快跟着视频学习正确手法</t>
  </si>
  <si>
    <t>这样抱娃，手腕容易得“腱鞘炎”！改掉一个错误姿势，教你正确省力的抱法</t>
  </si>
  <si>
    <t>2个月的宝宝每天应该睡多久？不同月龄睡眠时长建议来了，看看#baby#睡得够不够</t>
  </si>
  <si>
    <t>很多宝宝睡觉时会突然抖一下，这是“惊跳反射”，这样做能让#ta#睡得更安稳</t>
  </si>
  <si>
    <t>母乳不够别担心，掌握2种科学混合喂养方法，宝宝营养跟得上</t>
  </si>
  <si>
    <t>产后疯狂掉头发？别怕，这是激素恢复的正常现象，4招帮你平稳度过</t>
  </si>
  <si>
    <t>产后肚子瘦不下去？盲目锻炼可能加重腹直肌分离，找对原因才能科学恢复</t>
  </si>
  <si>
    <t>#baby#会吃手吗？有人说“吃手更聪明不用管”，也有人说“会上瘾必须戒”，到底该听谁的？</t>
  </si>
  <si>
    <t>宝宝耳屎多，到底该不该掏？其实大多数情况不用管，只有这几种表现要注意</t>
  </si>
  <si>
    <t>宝宝抬头练得对，大运动发展快一步！2个月适用的小游戏，每天玩2～3分钟，抬头更稳当</t>
  </si>
  <si>
    <t>不知道和#baby#玩什么？10个零难度亲子游戏，轻松刺激视觉、听觉和大动作发育</t>
  </si>
  <si>
    <t>哺乳期≠啥都不能做！护肤、美甲、运动其实都可以，但这2件事必须禁止</t>
  </si>
  <si>
    <t>如果宝宝意外坠床，在抱起安抚前，一定要多花几秒确认3件事，避免二次伤害</t>
  </si>
  <si>
    <t>宝宝红屁屁，勤换纸尿裤还不够！做好这2件事，才能好得快、不反复</t>
  </si>
  <si>
    <t>母乳储存，一步做错全白费！从装袋、标记到解冻的正确方法，别让宝宝喝到变质奶</t>
  </si>
  <si>
    <t>宝宝白天睡一会就醒？不是睡够了，是“睡眠周期”没接上！3个方法让#ta#睡得久一点</t>
  </si>
  <si>
    <t>上班后陪娃时间少？抓住下班后3个关键时刻，胜过一整天无效陪同</t>
  </si>
  <si>
    <t>喂奶不敢减肥？其实吃对就能瘦，这样吃，下奶、瘦身两不误</t>
  </si>
  <si>
    <t>马上要上班了，背奶要做哪些准备、母乳怎么储存、宝宝不吃奶瓶怎么办？答案在这里</t>
  </si>
  <si>
    <t>担心宝宝口渴，要不要喂点水？其实在这个月龄前，额外喂水反而增加负担</t>
  </si>
  <si>
    <t>6个月前的宝宝很容易长湿疹，这篇护理指南请收好，关键时候用得上</t>
  </si>
  <si>
    <t>如果#baby#有这2个动作，说明快会翻身了！看懂信号及时辅助，帮#ta#完成第一次翻身</t>
  </si>
  <si>
    <t>有的宝宝4个月就长牙了，一般先长哪颗牙？长牙顺序有规律吗？出牙晚了该怎么办？</t>
  </si>
  <si>
    <t>4～6个月是宝宝厌奶高发期，提前了解原因和方法，顺利度过厌奶期</t>
  </si>
  <si>
    <t>可以提早给#baby#加辅食吗？其实4个月就能尝试，关键看#ta#有没有发出这几个信号</t>
  </si>
  <si>
    <t>有的宝宝4个月就可能出现分离焦虑了！黏人、找妈妈、不让走……你的反应决定宝宝能否平稳度过</t>
  </si>
  <si>
    <t>马上要上班了，背奶物品准备好了吗？对照这份清单，快速查漏补缺</t>
  </si>
  <si>
    <t>#baby#马上要吃辅食了，先吃哪种食物、一次吃多少、每天怎么安排？记住4个原则</t>
  </si>
  <si>
    <t>给宝宝断奶前，先看看这3个准备做好了吗？少一个都可能前功尽弃</t>
  </si>
  <si>
    <t>第一次给#baby#冲米粉，先放水还是先放粉？水温多少？稠度怎么调？手把手教你正确步骤</t>
  </si>
  <si>
    <t>#baby#的生长曲线能反应发育快慢，但如果只看曲线高低，你可能一直看错了</t>
  </si>
  <si>
    <t>#baby#的辅食工具准备好了吗？先别急着买一堆，这几种最常用，买了不积灰</t>
  </si>
  <si>
    <t>想让宝宝顺利接受奶瓶🍼，引入时机和方法是关键，做对第一步，瓶喂更轻松</t>
  </si>
  <si>
    <t>想让#baby#发育更好？别只关注大运动，精细动作同样重要，0～3岁这样练，能刺激大脑发育</t>
  </si>
  <si>
    <t>4～6个月是宝宝手眼协调能力发展关键期！这3个动作每天练，轻松锻炼抓握和追视能力</t>
  </si>
  <si>
    <t>有些宝宝刚开始喝奶粉时会抗拒，先别急着换牌子，按这4个步骤排查，大多能解决</t>
  </si>
  <si>
    <t>现在用腰凳、背巾带娃出门确实省力，但姿势错了可能影响髋关节发育！快对照检查一下</t>
  </si>
  <si>
    <t>宝宝出现阵发性哭闹要警惕！可能是“肠套叠”，4个信号教你快速判断</t>
  </si>
  <si>
    <t>4～6个月是宝宝贫血高发期，每3个就有1个中招，这些缺铁信号别忽视</t>
  </si>
  <si>
    <t>添加辅食后，有的宝宝几天不拉便便，这不一定是便秘！真便秘要看这个关键信号</t>
  </si>
  <si>
    <t>有的宝宝吃辅食后起疹子、拉肚子，可能是食物过敏，一文看懂常见症状与应对方法</t>
  </si>
  <si>
    <t>#baby#需要维生素D、铁、锌、钙吗？其实真正需要补的只有2种</t>
  </si>
  <si>
    <t>#baby#吃辅食就要坐餐椅了，5个餐椅挑选技巧一次说清，用到3岁都省心</t>
  </si>
  <si>
    <t>#baby#辅食吃不完？这样分装冷冻保存，营养几乎不流失</t>
  </si>
  <si>
    <t>宝宝吃奶不专心，不一定是不爱喝！这3种情况其实是正常现象</t>
  </si>
  <si>
    <t>你会给#baby#做辅食泥吗？红薯泥、菜泥、肉泥做法合集，建议收藏</t>
  </si>
  <si>
    <t>都说DHA能让宝宝更聪明，需要给#baby#补吗？先看奶量和辅食够不够</t>
  </si>
  <si>
    <t>很多宝宝第一次高烧可能是它引起的！7～13个月为高发期，提前了解如何判断和护理</t>
  </si>
  <si>
    <t>不想宝宝之后挑食偏食、追着喂饭，从现在开始做好这1点</t>
  </si>
  <si>
    <t>宝宝6个月了，经常扶着腋窝练习站，真的能让#ta#站得更好吗？</t>
  </si>
  <si>
    <t>宝宝拉绿色便便别慌！这5种情况是正常的，只有1种需要警惕</t>
  </si>
  <si>
    <t>宝宝频繁挠耳朵，当心急性中耳炎，6个月～2岁高发，附症状识别指南</t>
  </si>
  <si>
    <t>#baby#加辅食后就要吃油了，芝麻油、核桃油、玉米油、亚麻籽油……哪个更营养？</t>
  </si>
  <si>
    <t>你买的玩具#baby#喜欢玩吗？其实家里这3样简单东西，比昂贵玩具更能吸引#ta#</t>
  </si>
  <si>
    <t>断奶以后还有少量乳汁，需要排残奶吗？看完这篇再做决定</t>
  </si>
  <si>
    <t>#baby#多大能吃盐？《中国居民膳食指南》建议：1岁内不吃，1岁后不超过这个量</t>
  </si>
  <si>
    <t>宝宝发烧捂汗退烧快？错，分不清这3个阶段，可能越捂越严重</t>
  </si>
  <si>
    <t>这几类常见物品，容易导致宝宝窒息，很多家庭都有，赶紧对照检查</t>
  </si>
  <si>
    <t>#baby#现在开始认妈妈了吗？这只是开始，7个月左右可能变得更黏人，原因在这里</t>
  </si>
  <si>
    <t>断奶越狠心效果越好？真相可能恰恰相反，这份攻略教你避开常见误区</t>
  </si>
  <si>
    <t>宝宝有时候不爱喝水？用这4个方法巧妙引导，养成喝水好习惯</t>
  </si>
  <si>
    <t>宝宝有时看见辅食就闭嘴、扭头？不一定是不爱吃，而是喂的时机没选对</t>
  </si>
  <si>
    <t>这6类食物最容易让宝宝过敏！尤其第1种，过敏率最高</t>
  </si>
  <si>
    <t>宝宝7～12个月会爬会站后，家里这6个地方一定要查一遍！</t>
  </si>
  <si>
    <t>警惕！这些“纯天然”湿疹膏可能含激素，长期用危害宝宝健康，安全有效的就2类</t>
  </si>
  <si>
    <t>宝宝鼻塞分2种，护理方法完全不同！做对这一步，宝宝通鼻快、少遭罪</t>
  </si>
  <si>
    <t>7～9个月宝宝有这3个表现吗？语言发育黄金期别错过，这样做#baby#更聪明</t>
  </si>
  <si>
    <t>宝宝每天喝多少水才够？0～5岁喝水量对照表+选水指南，一篇讲清</t>
  </si>
  <si>
    <t>宝宝发烧用药💊有禁忌！这两种药安全有效，但千万别交替用，家长必看</t>
  </si>
  <si>
    <t>宝宝放屁💨是健康信号！这2种屁要留意，可能是消化问题，家长别忽视</t>
  </si>
  <si>
    <t>0～2岁亲子依恋期，和小婴儿这样互动，宝宝长大少焦虑、更自信</t>
  </si>
  <si>
    <t>#baby#长牙🦷后，一件小事能避免大问题，你做了吗？</t>
  </si>
  <si>
    <t>6个月～2岁是宝宝腹泻高发期！这5种情况最易反复，附护理避坑指南​</t>
  </si>
  <si>
    <t>宝宝水果每天吃多少、吃哪些最好？对照表告诉你7月龄宝宝的正确量</t>
  </si>
  <si>
    <t>宝宝突然超黏你、哭闹不断？原因竟是认知能力升级，这2招帮#ta#安心</t>
  </si>
  <si>
    <t>辅食加错顺序，反而容易过敏？最新研究帮你避坑</t>
  </si>
  <si>
    <t>不想追着喂饭？现在培养宝宝吃饭习惯，记住这4个关键点</t>
  </si>
  <si>
    <t>宝宝一咳嗽就雾化？小心滥用伤身！这些情况才需要，附注意事项清单</t>
  </si>
  <si>
    <t>想让宝宝自主吃饭？8～12个月这一件小事很关键</t>
  </si>
  <si>
    <t>宝宝第一颗牙🦷啥时长？在这期间都正常，但这一种情况需就医</t>
  </si>
  <si>
    <t>产后瘦身早做vs晚做，差别太大了！黄金期这样减，高效不反弹</t>
  </si>
  <si>
    <t>宝宝便便有黏液正常吗？这种情况不用管，但2种需就医，家长快对照</t>
  </si>
  <si>
    <t>想让宝宝少生病？别信这些“免疫力神器”！做好这5点才管用</t>
  </si>
  <si>
    <t>#baby#出现这些信号说明想自己吃饭！抓住黄金期，养出爱吃饭的宝宝</t>
  </si>
  <si>
    <t>这种谷物膳食纤维是米饭26倍！营养秒杀小米糙米，宝宝辅食别错过</t>
  </si>
  <si>
    <t>宝宝听力损伤不可逆！家里这些常见物品音量要控制，附安全分贝指南</t>
  </si>
  <si>
    <t>6类抗生素孩子慎用！副作用明显可致耳聋，这份黑名单快收藏好</t>
  </si>
  <si>
    <t>宝宝黏人≠缺安全感！恭喜，这是他爱你的表现，做好2件事轻松度过</t>
  </si>
  <si>
    <t>疫苗后7～10天出疹子？可能是正常反应！但这些情况需立即就医🏥</t>
  </si>
  <si>
    <t>1颗胚芽米=108颗普通大米”？真相来了！这样吃性价比更高，营养不输</t>
  </si>
  <si>
    <t>补DHA别只盯三文鱼！这几种淡水鱼含量高，还便宜好买，宝宝补脑别错过</t>
  </si>
  <si>
    <t>给#baby#加餐怕影响正餐？记住这3类食物，营养足不占肚子，宝宝更健康</t>
  </si>
  <si>
    <t>饭桌是最好的早教！每天抽出1顿饭这样做，宝宝吃饭香、学规矩快</t>
  </si>
  <si>
    <t>给宝宝买保险前，先看这篇！避开常见套路，不花一分冤枉钱</t>
  </si>
  <si>
    <t>医生提醒：宝宝咳嗽别急着吃药！5个靠谱护理法，好得快少遭罪</t>
  </si>
  <si>
    <t>宝宝好动≠难带，太安静≠省心，两种性格带法大不同</t>
  </si>
  <si>
    <t>宝宝湿疹别乱用药！正确用法分强弱效，用量有讲究</t>
  </si>
  <si>
    <t>看见宝宝摸私处，你的反应对吗？制止可能更糟，这样做保护好奇心和安全感</t>
  </si>
  <si>
    <t>带娃坐高铁🚄，免票条件、证件要求、换尿布全攻略！提前看这篇，避免手忙脚乱</t>
  </si>
  <si>
    <t>1岁内宝宝警惕！这些异常都是佝偻病信号，做好这2点有效预防</t>
  </si>
  <si>
    <t>这5种“食物相克”说法最坑娃！实验+官方文件双重辟谣，附正确搭配原则</t>
  </si>
  <si>
    <t>⚠️立刻排查！这5个家中烫伤隐患，一定要帮宝宝避开，尤其第3个</t>
  </si>
  <si>
    <t>宝宝久咳≠肺炎，但如果出现这种呼吸声+3个表现，要立刻去医院🏥</t>
  </si>
  <si>
    <t>医生提醒：这5类感冒药，4岁以下宝宝慎用！附安全替代方案</t>
  </si>
  <si>
    <t>宝宝长期口呼吸，会变丑还影响智力！3步在家自测，早发现早干预</t>
  </si>
  <si>
    <t>#baby#多大能吃奶酪？包装上有这4个字的，慎选！附正确挑选法</t>
  </si>
  <si>
    <t>宝宝挑食别焦虑！记住“3432”饮食法，不愁营养不够</t>
  </si>
  <si>
    <t>1～2岁宝宝误食误吞高发期，家中这5个安全死角快排查</t>
  </si>
  <si>
    <t>亲子关系影响宝宝一生！这2步，帮你筑牢爱的根基</t>
  </si>
  <si>
    <t>司机完全看不到！宝宝身高不足1米，这3个位置是绝对盲区，家长必查</t>
  </si>
  <si>
    <t>别交智商税！5种网红「儿童食品」，营养不如普通款，添加剂还更多</t>
  </si>
  <si>
    <t>这样教宝宝说话，可能越教越晚！7个常见误区，第4个很多人在做</t>
  </si>
  <si>
    <t>儿童牙刷别乱买，选错伤牙龈还刷不干净！对照国家标准，3步选对</t>
  </si>
  <si>
    <t>孩子经常感冒，免疫力反而强？医生：这个次数内正常，但出现这种情况要警惕</t>
  </si>
  <si>
    <t>防蛀牙，别只盯着糖！这4个因素才是关键，尤其是最后1个</t>
  </si>
  <si>
    <t>别再这么喂药💊！3种方式超危险，可能呛到还伤娃，附正确技巧</t>
  </si>
  <si>
    <t>宝宝不会擤鼻涕🤧？用“吹纸巾”小游戏，轻松教会#ta#</t>
  </si>
  <si>
    <t>想给宝宝买保险？这7件事做错=白花钱！附正确思路</t>
  </si>
  <si>
    <t>想送宝宝上托班？这4个坑一定要避开！尤其第2个，直接影响安全</t>
  </si>
  <si>
    <t>1～3岁宝宝“挑食”高发！但这5种情况不是真挑食，别再冤枉娃了</t>
  </si>
  <si>
    <t>大便化验单藏着宝宝健康密码！重点看这9项，快速判断</t>
  </si>
  <si>
    <t>宝宝打人不是坏！是不会表达，读懂#ta#这5句“潜台词”，轻松化解</t>
  </si>
  <si>
    <t>伤牙食物不止糖🍬，娃常吃的这3类最易忽略！附应对方法和护牙食物清单</t>
  </si>
  <si>
    <t>退烧药吃错，无效还伤身！孩子发烧🤒️，记住这个用药金标准</t>
  </si>
  <si>
    <t>每个家长都该知道的宝宝通鼻妙招！鼻塞流涕不用慌，不吃药护理大全快收藏</t>
  </si>
  <si>
    <t>自闭症不是小概率！一个班就可能有1个，孩子这2种表现家长别忽视</t>
  </si>
  <si>
    <t>1～2岁娃乳牙易磕伤！处理不当影响恒牙，这2种情况需要立即就医</t>
  </si>
  <si>
    <t>宝宝便秘食物红黑榜：香蕉🍌可能加重，这几种才真正助排便！清单速收藏</t>
  </si>
  <si>
    <t>孩子一咳嗽就喂止咳药？这个常见错误可能加重病情。正确护理记住这几步</t>
  </si>
  <si>
    <t>别再浪费钱！这个被包装成“儿童必检”的项目，多数孩子根本没必要做</t>
  </si>
  <si>
    <t>别被“宝宝零食”“0添加”骗了！学会看这2张表，避开垃圾食品</t>
  </si>
  <si>
    <t>一两岁的宝宝爱说”不“？试试这5个“魔法”小技巧，比吼一万遍都管用</t>
  </si>
  <si>
    <t>1岁后宝宝容易哭闹，用这三句话代替“别哭了”，效果大不同</t>
  </si>
  <si>
    <t>不少“儿童酱油”钠含量比普通酱油还高！给娃挑酱油，记住这5个硬标准才靠谱</t>
  </si>
  <si>
    <t>宝宝发烧🤒️，捂汗还是散热？关键看准这个时刻，做错反而加重</t>
  </si>
  <si>
    <t>宝宝拉肚子别慌！止泻不是第一步，5个护理要点+就医信号要记牢</t>
  </si>
  <si>
    <t>搞定刷牙困难户，不用吼也不用逼！3个神奇方法，让#baby#爱上刷牙</t>
  </si>
  <si>
    <t>孩子不配合，别总硬碰硬。试试这3个“巧劲”，化解带娃的鸡飞狗跳</t>
  </si>
  <si>
    <t>1岁半后，宝宝社交能力正在飞跃，出现这个表现，说明#ta#发展得很好</t>
  </si>
  <si>
    <t>被祖辈疼爱的童年，会给孩子留下些什么？很多父母低估了这件事</t>
  </si>
  <si>
    <t>#baby#每天吃多少算够？一张图看清每日营养需求，避免过度喂养影响长高</t>
  </si>
  <si>
    <t>别再为宝宝每天吃什么发愁！3个搭配妙招，营养丰富超省心</t>
  </si>
  <si>
    <t>不想宝宝变“饭渣”？避开5个喂养坑，让娃爱上吃饭</t>
  </si>
  <si>
    <t>依赖安抚物≠缺乏安全感！儿童心理学：这是宝宝在学习长大，3种例外需留意</t>
  </si>
  <si>
    <t>宠娃≠溺爱！2个问题帮你分清溺爱和真爱，附正确做法</t>
  </si>
  <si>
    <t>别以为吃饱了就营养够！宝宝胃小，记住“营养密度”优先，一张表说清</t>
  </si>
  <si>
    <t>父母吵架，有的伤娃有的教娃！区别就藏在这3个关键里</t>
  </si>
  <si>
    <t>带娃坐车别犯这8个错！关系生命安全，家长必看</t>
  </si>
  <si>
    <t>这3个常见习惯，正在悄悄改变孩子的脸型！很多家长可能还没意识到</t>
  </si>
  <si>
    <t>不想娃越大越难带？1岁后是立规矩黄金期！做好3步，省心好几年</t>
  </si>
  <si>
    <t>告别洗裤子和尿不湿！如厕训练🚽超细节4步攻略，顺序对了事半功倍</t>
  </si>
  <si>
    <t>宝宝爱咬人≠有攻击性！这是成长的信号，看懂原因，3步轻松引导</t>
  </si>
  <si>
    <t>想要避免宝宝以后追着喂饭、吃饭磨蹭、挑食……从现在开始做好这5件事</t>
  </si>
  <si>
    <t>你给#baby#买的酱油真的适合吗？别只看“儿童”标签，按这5个标准挑选更靠谱</t>
  </si>
  <si>
    <t>每天给#baby#刷牙，但你真的刷对了吗？用对方法，牙菌斑清除效果高3倍</t>
  </si>
  <si>
    <t>#baby#会说1～2个词了吗？开口早晚和这3个原因有关，来看看怎么引导#ta#多开口</t>
  </si>
  <si>
    <t>宝宝会走后出门反要抱？其实不是偷懒，而是这2个心理需求在“作祟”</t>
  </si>
  <si>
    <t>#baby##relative#，#baby#做过1周岁的眼科检查了吗？卫健委建议必查项目，附自查清单</t>
  </si>
  <si>
    <t>陪玩比上班还累？7个简单小游戏，能让#baby#专注玩很久</t>
  </si>
  <si>
    <t>#baby#1岁后要报早教班吗？理清这3个问题，再做决定不后悔</t>
  </si>
  <si>
    <t>孩子总是自己玩、说话晚，是内向还是自闭症？核心区别在这里</t>
  </si>
  <si>
    <t>没忍住当着孩子的面吵架了？别自责，做好这3件事，能有效修复亲子关系</t>
  </si>
  <si>
    <t>#baby#1岁10个月了，喜欢爬上爬下、看绘本吗？来看看这个阶段的发育特点和养育重点</t>
  </si>
  <si>
    <t>#baby#马上2岁了，要进入脾气大、爱说“不要”的阶段了。提前读懂#ta#的小心思，平稳度过“叛逆期”</t>
  </si>
  <si>
    <t>让#baby#像爱零食一样爱上蔬菜，这7个方法很管用，看看你有没有试过</t>
  </si>
  <si>
    <t>#baby#马上进入语言发展关键期了，这份2～3岁必读绘本清单请收好，可以刺激语言与大脑发育</t>
  </si>
  <si>
    <t>#baby#现在会自己穿脱外套、拉拉链吗？抓住自理能力关键期，附分龄引导技巧</t>
  </si>
  <si>
    <t>想让#baby#更聪明？别只教数数，培养思维能力才是关键！6个实操方法速看</t>
  </si>
  <si>
    <t>#baby#1岁11个月了，会双脚跳、给玩具排序吗？本月龄发育特点与养育重点在这里</t>
  </si>
  <si>
    <t>别只会对孩子说“不可以”！3个聪明的话术，轻松搞定2岁叛逆期</t>
  </si>
  <si>
    <t>陪#baby#不知道玩什么？10个创意小游戏，用家里常见物品就能玩，还能锻炼多项能力</t>
  </si>
  <si>
    <t>宝宝玩什么都三分钟热度？“热心指导”可能会破坏#ta#的专注力，正确做法看这里</t>
  </si>
  <si>
    <t>宝宝总说“不”、一秒变脸、撒泼打滚？“可怕2岁”来了，2步教你轻松应对</t>
  </si>
  <si>
    <t>你给#baby#每天吃多少水果？对照各月龄推荐量自查，吃多可能影响正餐、导致肥胖</t>
  </si>
  <si>
    <t>不知道怎么陪#baby#玩？试试「哈佛五步互动法」，每天几分钟，刺激大脑发育</t>
  </si>
  <si>
    <t>宝宝爱抢玩具、不愿分享？这是培养物权意识的关键期，这样做比强迫分享更有效</t>
  </si>
  <si>
    <t>快检查你给#baby#买的零食！如果有这些成分，相当于在喂“隐形糖”</t>
  </si>
  <si>
    <t>宝宝整天玩锅碗瓢盆、抽纸、遥控器？其实是好事！抓住机会引导，不花钱也能玩出聪明大脑</t>
  </si>
  <si>
    <t>1岁宝宝绘本怎么选？照着4个标准挑选，附经典书单和避坑提醒</t>
  </si>
  <si>
    <t>不报班、不花钱，一张纸每天和#baby#玩10分钟，轻松锻炼专注力、创造力</t>
  </si>
  <si>
    <t>总是发愁#baby#“今天吃什么”？记住这个简单公式，每天轻松吃够12种食物</t>
  </si>
  <si>
    <t>1岁宝宝买什么玩具？3类真正益智的玩具推荐，附各月龄创意玩法</t>
  </si>
  <si>
    <t>预防蛀牙，光刷牙可能不够，定期带#baby#涂氟才是双保险，快来看看几岁涂、怎么涂、要注意什么</t>
  </si>
  <si>
    <t>#baby#的语言爆发期来了！别光“多说话”，掌握3个核心方法，让#ta#表达力直线上升</t>
  </si>
  <si>
    <t>宝宝走路有点O型腿？别慌，1岁半前大多正常，来看看几岁会自己变直</t>
  </si>
  <si>
    <t>13个月的宝宝一般会说几个词？对照这份语言发育特点，帮#baby#提升表达能力</t>
  </si>
  <si>
    <t>#baby#1岁2个月了，会指认五官、配合穿衣服了吗？快来看看这个月要重点培养的能力</t>
  </si>
  <si>
    <t>高质量陪伴不等于全天守着！这2个关键点没做到，陪再久也效果甚微</t>
  </si>
  <si>
    <t>别把音乐启蒙想复杂了！一个空盒子、一根橡皮筋，就能提升#baby#的节奏感</t>
  </si>
  <si>
    <t>为什么宝宝都爱脱袜子？别急着穿回去，这可能是发育好的信号</t>
  </si>
  <si>
    <t>孩子禁用、慎用的抗生素名单，赶紧收藏！用错可能伤听力、损肾脏</t>
  </si>
  <si>
    <t>1～2岁宝宝必玩！这7个益智游戏清单，玩出专注力+逻辑思维</t>
  </si>
  <si>
    <t>牙医提醒：儿童牙膏别瞎买！尤其含这3种成分的，伤牙还刺激，附安全对照表</t>
  </si>
  <si>
    <t>1岁后社交能力这样培养，娃上幼儿园不担心，自信大方受欢迎</t>
  </si>
  <si>
    <t>想培养“心灵手巧”的娃？1～2岁在家玩这6个游戏，开发大脑超简单</t>
  </si>
  <si>
    <t>陪娃累到崩溃？10个在家就能玩的小游戏，省力又省心，娃越玩越聪明</t>
  </si>
  <si>
    <t>儿童钠摄入普遍超标2倍！这些“隐形咸”食物，正在悄悄伤害健康</t>
  </si>
  <si>
    <t>妈妈别自责！宝宝在你面前更“作”是有原因的，3个真相，第2个看完心都软了</t>
  </si>
  <si>
    <t>二胎隔1年、3年、5年差别有多大？一篇讲透利弊，这个黄金间隔对妈妈和娃都好</t>
  </si>
  <si>
    <t>宝宝见啥啃啥，别只会抢！这是他变聪明的信号，用好2招轻松过渡</t>
  </si>
  <si>
    <t>给#baby#选牛奶🥛，别只看品牌！一张图看懂好奶标准，避开2种“假牛奶”</t>
  </si>
  <si>
    <t>天天夸“你真棒”，孩子反而没动力？打开2个思路，夸出#baby#的自信和内驱力</t>
  </si>
  <si>
    <t>宝宝1岁后饮食安排有哪些变化？做好这3个升级，娃吃得好、长得壮</t>
  </si>
  <si>
    <t>3岁前vs3岁后，刷牙姿势大不同！抓住3个关键，宝宝牙齿干净不蛀牙</t>
  </si>
  <si>
    <t>5岁儿童超70%有蛀牙！0～6岁防蛀，做好这5件事是关键，守住娃的小白牙🦷</t>
  </si>
  <si>
    <t>别和1～3岁娃硬杠！做好这4件事，让“秩序期”变“早教黄金期”</t>
  </si>
  <si>
    <t>出现这3个信号，该给宝宝穿内裤了！尺寸、材质、款式怎么挑，一篇讲清</t>
  </si>
  <si>
    <t>宝宝内向≠自闭症！医生：真正的征兆是这2种“能力缺失”，附自检表</t>
  </si>
  <si>
    <t>1～2岁娃“人小脾气大”！用对4个方法，规矩立得住，还不伤感情</t>
  </si>
  <si>
    <t>娃抢玩具、护东西，说“是我的！”恭喜你，#ta#的物权意识萌芽了！3步正确引导</t>
  </si>
  <si>
    <t>世卫组织禁令：3岁内禁止吃这类“糖”！娃吃的这些“健康零食”，含糖量可能吓你一跳</t>
  </si>
  <si>
    <t>晚睡影响长高？别焦虑！研究证实：关键不是几点睡，而是……</t>
  </si>
  <si>
    <t>别花冤枉钱上早教了！一张纸在家就能玩，开发6大能力，附分龄玩法</t>
  </si>
  <si>
    <t>0～6岁注意力标准表📊，娃能专注几分钟？对照一下就知道是否达标✅</t>
  </si>
  <si>
    <t>🕒娃的“睡前大戏”：喝水/尿尿/讲故事…读懂娃的4个小心思，轻松哄睡不生气</t>
  </si>
  <si>
    <t>迎接宝宝的“贴心期”！#baby#1岁8个月啦，语言爆发、会关心人！这个阶段发育重点，家长别错过</t>
  </si>
  <si>
    <t>宝宝喜欢脱袜子🧦别强行穿！光脚好处太多，这样判断#ta#冷不冷</t>
  </si>
  <si>
    <t>身高不全靠遗传📈抓住2个冲刺期，4招帮娃轻松长更高</t>
  </si>
  <si>
    <t>#baby#1岁9个月啦✨进入“空间探索+物权敏感”期！4大养育重点别错过</t>
  </si>
  <si>
    <t>娃为啥总看同一集动画、玩同个游戏？不是无聊，3个“聪明密码”告诉你答案</t>
  </si>
  <si>
    <t>🦷90%家长忽略的蛀牙信号！孩子乳牙上这种情况别忽视，做好3件事还能救</t>
  </si>
  <si>
    <t>🔍自查：娃的“生长曲线”是哪种类型？这种“平缓型”可能暗示营养没吃对</t>
  </si>
  <si>
    <t>原文案
（1.23-1.29）</t>
  </si>
  <si>
    <t>新文案
（3.5-3.11）</t>
  </si>
  <si>
    <t>点击率变化</t>
  </si>
  <si>
    <t>问题诊断</t>
  </si>
  <si>
    <t>配置年龄</t>
  </si>
  <si>
    <t>横幅文案</t>
  </si>
  <si>
    <t>push7日平均曝光人数</t>
  </si>
  <si>
    <t>push7日平均点击人数</t>
  </si>
  <si>
    <t>push7日平均点击率</t>
  </si>
  <si>
    <t>0岁0个月7天</t>
  </si>
  <si>
    <t>#baby#满1周啦，吃奶量开始慢慢增加了，来看看这个阶段#ta#的生长发育特点</t>
  </si>
  <si>
    <t>0岁0个月8天</t>
  </si>
  <si>
    <t>护理新生宝宝要非常小心，这12个禁忌最好别碰</t>
  </si>
  <si>
    <t>0岁0个月9天</t>
  </si>
  <si>
    <t>乳头都被吸破了，就不要再默默忍痛喂奶了，快试试这些方法吧</t>
  </si>
  <si>
    <t>0岁0个月10天</t>
  </si>
  <si>
    <t>刚出生的宝宝不会区分白天和晚上，想要尽快让#ta#的睡眠规律起来，从现在开始就要培养“昼夜节律”啦！</t>
  </si>
  <si>
    <t>0岁0个月11天</t>
  </si>
  <si>
    <t>宝宝吃奶费劲可能是姿势不对，给你推荐4个最靠谱的喂奶姿势</t>
  </si>
  <si>
    <t>0岁0个月12天</t>
  </si>
  <si>
    <t>恶露是子宫恢复好坏的“晴雨表”，学会正确判断和护理</t>
  </si>
  <si>
    <t>0岁0个月13天</t>
  </si>
  <si>
    <t>#baby#现在每天能睡多长时间？来看看这个阶段#ta#的睡眠特点吧</t>
  </si>
  <si>
    <t>0岁0个月14天</t>
  </si>
  <si>
    <t>#baby#满2周啦，开始进入生长爆发期了，来看看这个阶段#ta#的生长发育特点</t>
  </si>
  <si>
    <t>0岁0个月15天</t>
  </si>
  <si>
    <t>奶阵是决定奶量的关键，这几个小窍门可以让奶阵变多</t>
  </si>
  <si>
    <t>0岁0个月16天</t>
  </si>
  <si>
    <t>有没有发现#baby#睡着后会笑也会哭，不一定是做梦哦，了解原因后你就放心了</t>
  </si>
  <si>
    <t>0岁0个月17天</t>
  </si>
  <si>
    <t>想要恢复孕前身材？这些动作月子里就可以做起来</t>
  </si>
  <si>
    <t>0岁0个月18天</t>
  </si>
  <si>
    <t>宝宝刚吃两口奶就睡着了，没吃饱导致频繁醒来吃奶，怎么让他先吃饱再睡？</t>
  </si>
  <si>
    <t>0岁0个月19天</t>
  </si>
  <si>
    <t>学会3种拍嗝手法，有效防止宝宝吐奶</t>
  </si>
  <si>
    <t>0岁0个月20天</t>
  </si>
  <si>
    <t>#baby#会对你甜甜地笑了吗？来看看笑容背后的含义吧</t>
  </si>
  <si>
    <t>0岁0个月21天</t>
  </si>
  <si>
    <t>#baby#满3周啦，视线会追着你走了，来看看这个阶段#ta#的生长发育特点</t>
  </si>
  <si>
    <t>0岁0个月22天</t>
  </si>
  <si>
    <t>便便能反应宝宝最近吃得好不好、消化怎么样，9张图看懂宝宝的便便</t>
  </si>
  <si>
    <t>点击率小于1%</t>
  </si>
  <si>
    <t>0岁0个月23天</t>
  </si>
  <si>
    <t>生完孩子身体原来会发生这么多变化，你发现了吗？</t>
  </si>
  <si>
    <t>0岁0个月24天</t>
  </si>
  <si>
    <t>宝宝满月的第一次体检，你知道要检查什么吗？</t>
  </si>
  <si>
    <t>0岁0个月25天</t>
  </si>
  <si>
    <t>满月剃胎毛头发会长更好吗？给#baby#理发前你得知道这6件事</t>
  </si>
  <si>
    <t>0岁0个月26天</t>
  </si>
  <si>
    <t>给足#baby#安全感，只需从出生起做好 2 件事</t>
  </si>
  <si>
    <t>0岁0个月27天</t>
  </si>
  <si>
    <t>经常趴和不趴的宝宝，究竟会差在哪里？</t>
  </si>
  <si>
    <t>0岁0个月28天</t>
  </si>
  <si>
    <t>宝宝到底吃饱了没？看这四点就够了</t>
  </si>
  <si>
    <t>0岁0个月29天</t>
  </si>
  <si>
    <t>产后想让肚子变小腰变细？收腹带靠谱吗？</t>
  </si>
  <si>
    <t>0岁1个月0天</t>
  </si>
  <si>
    <t>#baby#1个月啦，趴着的时候能把头抬起来吗？来看看这个阶段的生长发育特点</t>
  </si>
  <si>
    <t>0岁1个月1天</t>
  </si>
  <si>
    <t>很多宝宝在1个月左右会出现比较严重的肠胀气，来看看怎么预防和缓解吧</t>
  </si>
  <si>
    <t>优化后点击率下降0.5%以上</t>
  </si>
  <si>
    <t>0岁1个月3天</t>
  </si>
  <si>
    <t>给#baby#做被动操好处多，这套高人气被动操音乐推荐给你</t>
  </si>
  <si>
    <t>0岁1个月4天</t>
  </si>
  <si>
    <t>产后42天检查，妈妈和宝宝分别要查些什么？点击了解一下</t>
  </si>
  <si>
    <t>0岁1个月5天</t>
  </si>
  <si>
    <t>很多妈妈会在产后4～6周出现手腕疼，很可能得了腱鞘炎，缓解方法看这里</t>
  </si>
  <si>
    <t>0岁1个月6天</t>
  </si>
  <si>
    <t>女宝宝私处该如何清洗？不只是洗干净那么简单</t>
  </si>
  <si>
    <t>0岁1个月7天</t>
  </si>
  <si>
    <t>#baby#1个月2周啦，能抓住玩具玩一会儿了，来看看这个阶段#ta#的生长发育特点</t>
  </si>
  <si>
    <t>0岁1个月8天</t>
  </si>
  <si>
    <t>奶水够#baby#吃吗？快来试试这个哺乳专家推荐的追奶方法吧</t>
  </si>
  <si>
    <t>0岁1个月9天</t>
  </si>
  <si>
    <t>胀奶严重会变乳腺炎❗️这三个自救方法建议收藏</t>
  </si>
  <si>
    <t>0岁1个月10天</t>
  </si>
  <si>
    <t>按需喂养和按时喂养，哪种对宝宝和妈妈更好？</t>
  </si>
  <si>
    <t>0岁1个月11天</t>
  </si>
  <si>
    <t>想让#baby#自己入睡？安抚巾这个“哄睡神器”可以做到，今天教你正确使用</t>
  </si>
  <si>
    <t>0岁1个月12天</t>
  </si>
  <si>
    <t>想给#baby#睡出好头型，一定要把握住前6个月的关键期，睡出小圆头不是梦</t>
  </si>
  <si>
    <t>0岁1个月13天</t>
  </si>
  <si>
    <t>帮#baby#练习抬头，你需要先了解抬头的发育过程和各阶段的锻炼方法</t>
  </si>
  <si>
    <t>0岁1个月14天</t>
  </si>
  <si>
    <t>#baby#1个月3周啦，能分辨出妈妈的声音了，来看看这个阶段#ta#的生长发育特点</t>
  </si>
  <si>
    <t>0岁1个月15天</t>
  </si>
  <si>
    <t>这个阶段让#baby#练习趴着好处多多，快来看看该怎么做</t>
  </si>
  <si>
    <t>0岁1个月16天</t>
  </si>
  <si>
    <t>#baby##relative#，别再一哭就喂奶，教你听懂宝宝10种哭声，成为婴语大师</t>
  </si>
  <si>
    <t>0岁1个月17天</t>
  </si>
  <si>
    <t>男宝宝私处需要翻开洗吗？很多人都做错了</t>
  </si>
  <si>
    <t>0岁1个月18天</t>
  </si>
  <si>
    <t>#baby#困得睁不开眼还不想睡？试试这2步，培养自主入睡好习惯</t>
  </si>
  <si>
    <t>0岁1个月19天</t>
  </si>
  <si>
    <t>有必要选择五联疫苗吗？对宝宝有什么好处？</t>
  </si>
  <si>
    <t>0岁1个月20天</t>
  </si>
  <si>
    <t>#baby#哭了，要不要立马抱？读懂#ta#哭的原因，更好做判断</t>
  </si>
  <si>
    <t>0岁1个月21天</t>
  </si>
  <si>
    <t>#baby#1个月4周啦，吃奶的间隔时间开始慢慢延长了，来看看这个阶段#ta#的生长发育特点</t>
  </si>
  <si>
    <t>0岁1个月22天</t>
  </si>
  <si>
    <t>宝宝好几天不拉便便是便秘吗？有可能是攒肚哦，教你正确判断</t>
  </si>
  <si>
    <t>0岁1个月23天</t>
  </si>
  <si>
    <t>生完孩子以后，过多久恢复月经才正常？</t>
  </si>
  <si>
    <t>0岁1个月24天</t>
  </si>
  <si>
    <t>宝宝呛奶？别急着拍嗝🙅！这两个黄金急救方法，你一定要学</t>
  </si>
  <si>
    <t>0岁1个月25天</t>
  </si>
  <si>
    <t>产后腹直肌分离？别慌，这套恢复运动在家也能做</t>
  </si>
  <si>
    <t>0岁1个月26天</t>
  </si>
  <si>
    <t>宝宝夜里睡觉吃手，要不要干预？怎么干预会比较有效</t>
  </si>
  <si>
    <t>0岁1个月27天</t>
  </si>
  <si>
    <t>安抚奶嘴到底要不要用？如果要用，建议这样正确使用</t>
  </si>
  <si>
    <t>0岁1个月28天</t>
  </si>
  <si>
    <t>最近考虑给#baby#用枕头了吗？用之前可以看看这些建议</t>
  </si>
  <si>
    <t>0岁1个月29天</t>
  </si>
  <si>
    <t>不知道怎么抱#baby#好？教你解锁各种抱娃姿势</t>
  </si>
  <si>
    <t>0岁2个月0天</t>
  </si>
  <si>
    <t>#baby#2个月啦，会咿咿呀呀回应你了，来看看这个阶段的生长发育特点</t>
  </si>
  <si>
    <t>0岁2个月1天</t>
  </si>
  <si>
    <t>吃手的宝宝可能更聪明，别再简单粗暴地制止了</t>
  </si>
  <si>
    <t>0岁2个月2天</t>
  </si>
  <si>
    <t>想让#baby#头抬得更好，可以试试这个游戏</t>
  </si>
  <si>
    <t>0岁2个月3天</t>
  </si>
  <si>
    <t>#baby#这个阶段睡多久最合适呢？来看看吧</t>
  </si>
  <si>
    <t>0岁2个月4天</t>
  </si>
  <si>
    <t>宝宝每次吃奶都要拍嗝吗，多大就不需要拍了？</t>
  </si>
  <si>
    <t>0岁2个月5天</t>
  </si>
  <si>
    <t>#baby#的身高体重有没有达标？这份最新版的《儿童身高体重标准表》供你参考</t>
  </si>
  <si>
    <t>0岁2个月6天</t>
  </si>
  <si>
    <t>经常给#baby#做手部训练，能促进大脑发育，来看看怎么练习吧</t>
  </si>
  <si>
    <t>0岁2个月7天</t>
  </si>
  <si>
    <t>#baby#2个月2周啦，能用小手支撑着抬起胸部了，来看看这个阶段#ta#的生长发育特点</t>
  </si>
  <si>
    <t>0岁2个月8天</t>
  </si>
  <si>
    <t>宝宝的囟门多久闭合才算正常？太早太晚都不行</t>
  </si>
  <si>
    <t>0岁2个月9天</t>
  </si>
  <si>
    <t>#baby#刚出生不知道怎么跟#ta#玩？这里有10个零难度亲子游戏，每天不重样逗宝宝玩</t>
  </si>
  <si>
    <t>0岁2个月10天</t>
  </si>
  <si>
    <t>卫健委发布宝宝生长发育对照表，对照看看#baby#达标了吗？</t>
  </si>
  <si>
    <t>0岁2个月11天</t>
  </si>
  <si>
    <t>#baby#每天应该睡多久？如何安排#ta#的睡眠时间？来了解一下</t>
  </si>
  <si>
    <t>0岁2个月12天</t>
  </si>
  <si>
    <t>才2个月的宝宝就掉发了，后脑勺秃了一块，是缺钙了吗？</t>
  </si>
  <si>
    <t>0岁2个月13天</t>
  </si>
  <si>
    <t>听说6个月前竖抱会伤害脊柱，但宝宝就喜欢竖抱怎么办？来看看儿科医生怎么说吧</t>
  </si>
  <si>
    <t>0岁2个月14天</t>
  </si>
  <si>
    <t>#baby#2个月3周啦，吃奶和睡觉越来越规律，来看看这个阶段#ta#的生长发育特点</t>
  </si>
  <si>
    <t>0岁2个月15天</t>
  </si>
  <si>
    <t>宝宝睡觉突然抖一下是吓到了吗？2个办法让#ta#睡得更安稳</t>
  </si>
  <si>
    <t>0岁2个月16天</t>
  </si>
  <si>
    <t>母乳不够吃，奶粉来凑，混合喂养怎么喂宝宝长得更好？</t>
  </si>
  <si>
    <t>0岁2个月17天</t>
  </si>
  <si>
    <t>躺着也能喂奶？学会这个喂奶🍼pose，让喂夜奶更轻松</t>
  </si>
  <si>
    <t>0岁2个月18天</t>
  </si>
  <si>
    <t>产后脱发的赶快🐎住！这4种自救方法真的有效</t>
  </si>
  <si>
    <t>0岁2个月19天</t>
  </si>
  <si>
    <t>生完了肚子还是鼓鼓的？要想瘦下去先搞清楚这些原因</t>
  </si>
  <si>
    <t>0岁2个月20天</t>
  </si>
  <si>
    <t>#baby#晚上是不是能睡得更久了？这是个培养睡眠规律的好时机，来看看该怎么做</t>
  </si>
  <si>
    <t>0岁2个月21天</t>
  </si>
  <si>
    <t>#baby#快3个月啦，开始努力地学习翻身了，来看看这个阶段#ta#的生长发育特点</t>
  </si>
  <si>
    <t>0岁2个月22天</t>
  </si>
  <si>
    <t>2～3个月是宝宝的翻身准备阶段，这些练习对翻身很有帮助</t>
  </si>
  <si>
    <t>0岁2个月23天</t>
  </si>
  <si>
    <t>宝宝马上可以做3个月体检了，来看看都会检查什么项目吧</t>
  </si>
  <si>
    <t>0岁2个月25天</t>
  </si>
  <si>
    <t>想给#baby#睡出小圆头？这个预防扁头关键一定要知道</t>
  </si>
  <si>
    <t>0岁2个月26天</t>
  </si>
  <si>
    <t>宝宝耳朵里看起来有不少耳屎，可以自己在家给#ta#掏吗？</t>
  </si>
  <si>
    <t>0岁2个月27天</t>
  </si>
  <si>
    <t>警惕过度喂养！可以这样来判断宝宝是不是真的饿了</t>
  </si>
  <si>
    <t>0岁2个月28天</t>
  </si>
  <si>
    <t>这样帮#baby#认识自己，长大更有自信</t>
  </si>
  <si>
    <t>0岁2个月29天</t>
  </si>
  <si>
    <t>#baby##relative#，听说喝冷冻的母乳还不如喝配方奶粉，这是真的吗？</t>
  </si>
  <si>
    <t>0岁3个月0天</t>
  </si>
  <si>
    <t>#baby#3个月啦，抬头已经很稳了，来看看这个阶段#ta#的生长发育特点</t>
  </si>
  <si>
    <t>0岁3个月1天</t>
  </si>
  <si>
    <t>怎么拯救宝宝红屁屁？知道这4点轻松解决</t>
  </si>
  <si>
    <t>0岁3个月2天</t>
  </si>
  <si>
    <t>奶睡抱睡到底好不好？按照这个正确方法，让#baby#养成好的入睡习惯</t>
  </si>
  <si>
    <t>0岁3个月3天</t>
  </si>
  <si>
    <t>宝宝湿疹护理指南来啦！这样做能让宝宝好得更快</t>
  </si>
  <si>
    <t>0岁3个月4天</t>
  </si>
  <si>
    <t>3个月宝宝一顿要吃多少奶、隔多久吃一次？来看看#baby#每天吃得够不够</t>
  </si>
  <si>
    <t>0岁3个月5天</t>
  </si>
  <si>
    <t>很多宝宝3个月就有翻身意识了，留意这些“翻身信号”，让#baby#早一步学会翻身</t>
  </si>
  <si>
    <t>0岁3个月6天</t>
  </si>
  <si>
    <t>#baby#3个月啦，想知道#ta#的眼睛现在能看多远吗？快来了解一下吧</t>
  </si>
  <si>
    <t>0岁3个月7天</t>
  </si>
  <si>
    <t>宝宝一定要在3个月的时候学会翻身吗？不晚于这个时间都可以（附视频教学）</t>
  </si>
  <si>
    <t>0岁3个月8天</t>
  </si>
  <si>
    <t>#baby#到这个时候，就可以自主入睡了哦，马上你就能睡个整觉啦！</t>
  </si>
  <si>
    <t>0岁3个月9天</t>
  </si>
  <si>
    <t>出现这些信号，说明宝宝的奶瓶该换了</t>
  </si>
  <si>
    <t>0岁3个月10天</t>
  </si>
  <si>
    <t>3个月龄宝宝哄睡必学，慢慢帮#baby#戒掉奶睡抱睡</t>
  </si>
  <si>
    <t>0岁3个月11天</t>
  </si>
  <si>
    <t>#baby#从4个月开始就可以补铁了，快来看看怎么补更好吧</t>
  </si>
  <si>
    <t>0岁3个月12天</t>
  </si>
  <si>
    <t>#baby#正在快速成长，为了更好地保护#ta#，这些安全问题需要特别注意⚠️</t>
  </si>
  <si>
    <t>0岁3个月13天</t>
  </si>
  <si>
    <t>原来长牙对#baby#来说这么难受😣啊，快帮#ta#做这两件事，能有效缓解不适</t>
  </si>
  <si>
    <t>0岁3个月14天</t>
  </si>
  <si>
    <t>你有没有发现，宝宝有时会喜欢扯着嗓子尖叫，这是怎么回事？</t>
  </si>
  <si>
    <t>0岁3个月15天</t>
  </si>
  <si>
    <t>哺乳期能染发美甲💅、吃药、同房吗？11大禁忌一次说清</t>
  </si>
  <si>
    <t>0岁3个月16天</t>
  </si>
  <si>
    <t>宝宝如果意外坠床，再心疼也千万先别抱#ta#起来❗️建议先做这件事</t>
  </si>
  <si>
    <t>0岁3个月17天</t>
  </si>
  <si>
    <t>从“谁抱都行”到“只要妈妈”，宝宝的爱其实会分阶段</t>
  </si>
  <si>
    <t>0岁3个月18天</t>
  </si>
  <si>
    <t>#baby#4个月可以补铁了，选铁剂时建议避开这些成分</t>
  </si>
  <si>
    <t>0岁3个月19天</t>
  </si>
  <si>
    <t>#baby#最近有这几个现象吗？这意味着#ta#要开始长小白牙🦷啦</t>
  </si>
  <si>
    <t>0岁3个月21天</t>
  </si>
  <si>
    <t>母乳储存要注意这5点，不然宝宝可能会不小心喝到变质奶</t>
  </si>
  <si>
    <t>0岁3个月22天</t>
  </si>
  <si>
    <t>#baby#白天小睡太短，怎么做能让#ta#睡得久一点？</t>
  </si>
  <si>
    <t>0岁3个月23天</t>
  </si>
  <si>
    <t>上班后陪娃的时间明显变少，这样做能轻松实现下班后高质量陪娃</t>
  </si>
  <si>
    <t>0岁3个月24天</t>
  </si>
  <si>
    <t>生完宝宝后按照这个原则吃，既不耽误哺乳，还可以实现减肥💪🏻</t>
  </si>
  <si>
    <t>0岁3个月25天</t>
  </si>
  <si>
    <t>产假结束快要去上班了吗？可以看看这份超全的背奶攻略哦👉</t>
  </si>
  <si>
    <t>0岁3个月26天</t>
  </si>
  <si>
    <t>#baby#多大能喝水？快来看看你有没有喂早</t>
  </si>
  <si>
    <t>0岁3个月27天</t>
  </si>
  <si>
    <t>到底要不要给#baby#喂水？这些关于宝宝喝水的常见疑问都帮你解答了</t>
  </si>
  <si>
    <t>0岁4个月0天</t>
  </si>
  <si>
    <t>#baby#4个月啦，能很好地翻身了吗？来看看这个阶段#ta#的生长发育特点</t>
  </si>
  <si>
    <t>0岁4个月1天</t>
  </si>
  <si>
    <t>产假快结束了，请查收这份上班背奶必备清单👉</t>
  </si>
  <si>
    <t>0岁4个月2天</t>
  </si>
  <si>
    <t>如何正确给男宝宝清洗私处，这3个时间点一定要知道</t>
  </si>
  <si>
    <t>0岁4个月3天</t>
  </si>
  <si>
    <t>#baby#长第一颗牙了吗？提前了解一下宝宝长牙的时间和顺序吧</t>
  </si>
  <si>
    <t>0岁4个月4天</t>
  </si>
  <si>
    <t>#baby#和家人视频聊天，会影响视力和发育吗？其实用对方法，反而对#ta#有好处</t>
  </si>
  <si>
    <t>0岁4个月5天</t>
  </si>
  <si>
    <t>#baby#现在会像个小大人，咿咿呀呀和你聊天吗？来看看这个阶段的语言发育水平吧</t>
  </si>
  <si>
    <t>0岁4个月6天</t>
  </si>
  <si>
    <t>不要错过#baby#的这7个猛涨期！喂养一定要及时跟上</t>
  </si>
  <si>
    <t>0岁4个月7天</t>
  </si>
  <si>
    <t>3个动作锻炼#baby#的手眼协调能力，快来试试看</t>
  </si>
  <si>
    <t>0岁4个月8天</t>
  </si>
  <si>
    <t>#baby#4个月了，要开始补铁了，可以通过这些辅食来帮#ta#补铁</t>
  </si>
  <si>
    <t>0岁4个月9天</t>
  </si>
  <si>
    <t>宝宝不爱喝奶粉，除了不适应奶嘴，可能还有这3种原因</t>
  </si>
  <si>
    <t>0岁4个月10天</t>
  </si>
  <si>
    <t>#baby#马上要吃辅食了，米粉买好了吗？今天教你几个选米粉的技巧</t>
  </si>
  <si>
    <t>0岁4个月11天</t>
  </si>
  <si>
    <t>你知道吗？宝宝不好好睡觉，是因为他感到不安，这样做可以给足他安全感</t>
  </si>
  <si>
    <t>0岁4个月12天</t>
  </si>
  <si>
    <t>#baby#现在是不是爱啃手啃脚流口水？口欲期的宝宝需要特别注意这3件事</t>
  </si>
  <si>
    <t>0岁4个月13天</t>
  </si>
  <si>
    <t>宝宝多大出牙🦷算是正常？超过这个年龄需要特别当心</t>
  </si>
  <si>
    <t>0岁4个月14天</t>
  </si>
  <si>
    <t>宝宝胃口本来好好的，突然就厌奶了？原因和方法都在这</t>
  </si>
  <si>
    <t>0岁4个月15天</t>
  </si>
  <si>
    <t>#baby#长牙的时候可能会经常烦躁，不容易安抚，这里有很多缓解方法，可以让#ta#舒服点</t>
  </si>
  <si>
    <t>0岁4个月16天</t>
  </si>
  <si>
    <t>喂奶的时候被宝宝“咬乳头”，不建议这样做，可能会让#ta#害怕吃奶</t>
  </si>
  <si>
    <t>0岁4个月17天</t>
  </si>
  <si>
    <t>一定要等到6个月才能#baby#加辅食吗？辅食添加信号了解一下</t>
  </si>
  <si>
    <t>0岁4个月18天</t>
  </si>
  <si>
    <t>宝宝突然白天哄睡难，小觉短，可能是要并觉了</t>
  </si>
  <si>
    <t>0岁4个月19天</t>
  </si>
  <si>
    <t>#baby#最近是不是超级黏人，这是因为#ta#到了分离焦虑的时候</t>
  </si>
  <si>
    <t>0岁4个月20天</t>
  </si>
  <si>
    <t>这3件事做到位，离#baby#能自主入睡也就不远了</t>
  </si>
  <si>
    <t>0岁4个月22天</t>
  </si>
  <si>
    <t>宝宝频繁夜醒很可能是这4个原因，建议一一对照找到真正原因</t>
  </si>
  <si>
    <t>0岁4个月23天</t>
  </si>
  <si>
    <t>#baby#马上要开始“干饭”了，辅食添加4大原则你掌握了吗</t>
  </si>
  <si>
    <t>0岁4个月24天</t>
  </si>
  <si>
    <t>#baby##relative#，决定给宝宝断奶前，先看看这些准备你都做好了吗？</t>
  </si>
  <si>
    <t>0岁4个月25天</t>
  </si>
  <si>
    <t>开始给#baby#吃米粉了吗？这样冲出来的米粉更丝滑，宝宝更爱吃</t>
  </si>
  <si>
    <t>0岁4个月26天</t>
  </si>
  <si>
    <t>不确定#baby#身高体重发育是否正常？试试用生长曲线来判断吧</t>
  </si>
  <si>
    <t>0岁4个月27天</t>
  </si>
  <si>
    <t>#baby#开始吃辅食了吗？做辅食这些趁手的工具可以提前准备一下</t>
  </si>
  <si>
    <t>0岁4个月28天</t>
  </si>
  <si>
    <t>#baby#接受奶瓶🍼吗？如果不爱用可以试试这些超实用的小技巧</t>
  </si>
  <si>
    <t>0岁4个月29天</t>
  </si>
  <si>
    <t>想让#baby#的大脑发育得更好，别忽略了精细动作的培养，快来试试这些好玩游戏和实用方法吧！</t>
  </si>
  <si>
    <t>0岁5个月0天</t>
  </si>
  <si>
    <t>#baby#5个月啦，动作能力越来越强了，来看看这个阶段#ta#的生长发育特点</t>
  </si>
  <si>
    <t>0岁5个月2天</t>
  </si>
  <si>
    <t>#baby#吃奶突然不专心，除了可能厌奶，还有这3种可能</t>
  </si>
  <si>
    <t>0岁5个月3天</t>
  </si>
  <si>
    <t>给#baby#喝奶粉🍼的时候，最好不要有这6种错误喂奶行为</t>
  </si>
  <si>
    <t>0岁5个月5天</t>
  </si>
  <si>
    <t>#baby##relative#，超美味辅食泥制作教程来了，做给#baby#吃吃看吧</t>
  </si>
  <si>
    <t>0岁5个月6天</t>
  </si>
  <si>
    <t>#baby#最近是不是老流口水？不建议这样给#ta#擦，可能引起口水疹</t>
  </si>
  <si>
    <t>0岁5个月7天</t>
  </si>
  <si>
    <t>#baby##relative#，6个月左右宝宝生理上不需要夜奶了，这种方式来戒对妈妈和宝宝都好</t>
  </si>
  <si>
    <t>0岁5个月8天</t>
  </si>
  <si>
    <t>别以为学说话还太早，现在是#baby#学语言的关键时期，来看看怎么让#ta#以后说得更好吧</t>
  </si>
  <si>
    <t>0岁5个月9天</t>
  </si>
  <si>
    <t>都说DHA可以让宝宝变得更聪明，一定要补吗？怎么补更好？</t>
  </si>
  <si>
    <t>0岁5个月10天</t>
  </si>
  <si>
    <t>#baby#现在可以坐直吗？这样做可以帮#ta#坐得更好</t>
  </si>
  <si>
    <t>0岁5个月11天</t>
  </si>
  <si>
    <t>你有在用背巾、背带、腰凳来抱#baby#吗？小心这些错误使用方法，可能会伤害到#ta#</t>
  </si>
  <si>
    <t>0岁5个月12天</t>
  </si>
  <si>
    <t>宝宝反复大哭，除了情绪问题，还需要警惕这种可能性</t>
  </si>
  <si>
    <t>0岁5个月13天</t>
  </si>
  <si>
    <t>每3个宝宝中就有1个贫血，怎么判断宝宝有没有贫血？</t>
  </si>
  <si>
    <t>0岁5个月14天</t>
  </si>
  <si>
    <t>宝宝吃辅食后几天不拉粑粑，可能这个原因（不是便秘）</t>
  </si>
  <si>
    <t>0岁5个月15天</t>
  </si>
  <si>
    <t>宝宝突然不好好睡觉，很可能是进入了这个阶段，快来了解一下吧</t>
  </si>
  <si>
    <t>0岁5个月16天</t>
  </si>
  <si>
    <t>#baby##relative#，给#baby#补钙，除了喝奶还能试试食补，食谱给你准备好了，快来看看吧</t>
  </si>
  <si>
    <t>0岁5个月17天</t>
  </si>
  <si>
    <t>#baby#添加辅食后，这样安排辅食和喝奶的问题比较合理，快来了解下吧</t>
  </si>
  <si>
    <t>0岁5个月18天</t>
  </si>
  <si>
    <t>#baby##relative#，食物过敏不是小事，提前了解症状和处理方法，以防万一，更好地保护#baby#</t>
  </si>
  <si>
    <t>0岁5个月19天</t>
  </si>
  <si>
    <t>#baby#快6个月了，如果你有断夜奶的打算，来提前了解一下</t>
  </si>
  <si>
    <t>0岁5个月20天</t>
  </si>
  <si>
    <t>#baby##relative#，想给孩子补钙铁锌，建议先看看这篇文章，以防错过关键时间节点</t>
  </si>
  <si>
    <t>0岁5个月21天</t>
  </si>
  <si>
    <t>#baby##relative#，#baby#开始吃辅食，就能坐餐椅了。可以按照这个标准来给#ta#选合适餐椅</t>
  </si>
  <si>
    <t>0岁5个月22天</t>
  </si>
  <si>
    <t>是时候给#baby#换掉奶瓶用水杯了，鸭嘴杯、吸管杯、啜饮杯、敞口杯应该怎么选？</t>
  </si>
  <si>
    <t>0岁5个月23天</t>
  </si>
  <si>
    <t>#baby#对你的依恋有4种类型，测一测#ta#究竟属于哪一种</t>
  </si>
  <si>
    <t>0岁5个月24天</t>
  </si>
  <si>
    <t>宝宝听不懂故事还要买绘本吗？要的，它能培养#baby#的语言能力</t>
  </si>
  <si>
    <t>0岁5个月25天</t>
  </si>
  <si>
    <t>#baby##relative#，没空给#baby#顿顿做新鲜的，可以试试这样保存辅食，安全又营养流失少</t>
  </si>
  <si>
    <t>0岁5个月26天</t>
  </si>
  <si>
    <t>宝宝马上可以做6个月体检了，来看看都会检查什么项目吧</t>
  </si>
  <si>
    <t>0岁5个月27天</t>
  </si>
  <si>
    <t>#baby#要6个月了，该换2段奶粉啦，对照看看你都选对了吗？</t>
  </si>
  <si>
    <t>0岁5个月28天</t>
  </si>
  <si>
    <t>马上要给#baby#添加辅食了，第一口吃什么比较好？这张计划表可以收藏</t>
  </si>
  <si>
    <t>0岁5个月29天</t>
  </si>
  <si>
    <t>#baby##relative#，#baby#有没有穿睡袋爱出汗、盖被子就踢？舒适的睡袋建议这样选</t>
  </si>
  <si>
    <t>0岁6个月0天</t>
  </si>
  <si>
    <t>#baby#6个月啦，迈入吃辅食的人生新阶段，来看看这个阶段#ta#的生长发育特点</t>
  </si>
  <si>
    <t>0岁6个月1天</t>
  </si>
  <si>
    <t>#baby#有时候是不是会假哭？其实这是#ta#在表达这件事</t>
  </si>
  <si>
    <t>0岁6个月2天</t>
  </si>
  <si>
    <t>宝宝什么时候断奶比较好？收好这份断奶攻略</t>
  </si>
  <si>
    <t>0岁6个月3天</t>
  </si>
  <si>
    <t>宝宝站得太早，会导致腿变弯吗？</t>
  </si>
  <si>
    <t>0岁6个月4天</t>
  </si>
  <si>
    <t>#baby#6个月了，开始认生了吗？别担心，这并不表示#ta#胆小</t>
  </si>
  <si>
    <t>0岁6个月5天</t>
  </si>
  <si>
    <t>不要错过#baby#宝贵的大脑发育加速期，做好这5点很重要</t>
  </si>
  <si>
    <t>0岁6个月6天</t>
  </si>
  <si>
    <t>宝宝不爱喝水💦怎么办？学会这4招，轻松拿捏小可爱</t>
  </si>
  <si>
    <t>0岁6个月7天</t>
  </si>
  <si>
    <t>#baby#6个月了，可以尝试戒奶瓶，让#ta#试试水杯吧</t>
  </si>
  <si>
    <t>0岁6个月8天</t>
  </si>
  <si>
    <t>一喂辅食就嘴巴紧闭，怎么拯救我的“饭渣”宝宝？</t>
  </si>
  <si>
    <t>0岁6个月9天</t>
  </si>
  <si>
    <t>#baby#开始添加辅食了，给#ta#准备辅食的时候，要注意这6类易引发过敏的食物</t>
  </si>
  <si>
    <t>0岁6个月10天</t>
  </si>
  <si>
    <t>听说很多宝宝初次高烧是因为幼儿急疹，该怎么应对？</t>
  </si>
  <si>
    <t>0岁6个月11天</t>
  </si>
  <si>
    <t>想要让#baby#爱上吃饭，1岁前怎么吃辅食是关键，建议这样培养</t>
  </si>
  <si>
    <t>0岁6个月12天</t>
  </si>
  <si>
    <t>宝宝6个月了，爷爷奶奶经常扶着#ta#的腋窝练习站，说以后会站得更好，真的有用吗？</t>
  </si>
  <si>
    <t>0岁6个月13天</t>
  </si>
  <si>
    <t>宝宝拉绿便正常吗？常见成因有5种，这1种建议及时带#ta#去医院</t>
  </si>
  <si>
    <t>0岁6个月14天</t>
  </si>
  <si>
    <t>宝宝经常烦躁地拉扯耳朵？当心是得了中耳炎，小心影响听力</t>
  </si>
  <si>
    <t>0岁6个月16天</t>
  </si>
  <si>
    <t>#baby##relative#，你知道吗？6个月后，就能戒安抚奶嘴了！这样戒对宝宝更有效</t>
  </si>
  <si>
    <t>0岁6个月17天</t>
  </si>
  <si>
    <t>#baby#吃辅食用的油你选对了吗？核桃油、菜籽油、橄榄油哪个更合适#ta#？</t>
  </si>
  <si>
    <t>0岁6个月18天</t>
  </si>
  <si>
    <t>玩具在精不在多，这3样简单玩具也能讨#baby#欢心</t>
  </si>
  <si>
    <t>0岁6个月19天</t>
  </si>
  <si>
    <t>断奶后的残奶真的有毒素吗？需要专门花钱去排出来吗？</t>
  </si>
  <si>
    <t>0岁6个月20天</t>
  </si>
  <si>
    <t>#baby#多大开始吃盐比较好？来看看这些专业的建议</t>
  </si>
  <si>
    <t>0岁6个月21天</t>
  </si>
  <si>
    <t>宝宝发烧🤒️后怎么护理能好得快？多穿点捂捂VS少穿点散热快，哪个方法更好？</t>
  </si>
  <si>
    <t>0岁6个月22天</t>
  </si>
  <si>
    <t>#baby#正处在大运动发展期，可以陪#ta#玩这些小游戏，越玩越聪明</t>
  </si>
  <si>
    <t>0岁6个月23天</t>
  </si>
  <si>
    <t>#baby#6个月就能专注地玩玩具啦！这些玩具很适合#ta#，看看你有买吗？</t>
  </si>
  <si>
    <t>0岁6个月24天</t>
  </si>
  <si>
    <t>#baby#马上就可以尝试碎末状食物了，来提前看看7个月的辅食安排</t>
  </si>
  <si>
    <t>0岁6个月25天</t>
  </si>
  <si>
    <t>现在是锻炼#baby#咀嚼能力的关键时期，这4件事做好了，不仅能让#ta#牙口更好，还有助于#ta#发音清晰、更早说话</t>
  </si>
  <si>
    <t>0岁6个月27天</t>
  </si>
  <si>
    <t>宝宝太小了，稍不注意可能有窒息风险，为了#ta#的安全，一定要提前预防好这3件事！</t>
  </si>
  <si>
    <t>0岁6个月28天</t>
  </si>
  <si>
    <t>谁带的时间多，宝宝就跟谁亲？这其实跟宝宝建立依恋关系的过程有关，家长别忘了做好一件事</t>
  </si>
  <si>
    <t>0岁7个月0天</t>
  </si>
  <si>
    <t>#baby#7个月啦，可能会出现分离焦虑，来看看这个阶段的生长发育特点</t>
  </si>
  <si>
    <t>0岁7个月1天</t>
  </si>
  <si>
    <t>#baby#会跟你“挥手再见”吗？来看看7~9个月宝宝的语言发育特点，提高#ta#的语言能力</t>
  </si>
  <si>
    <t>0岁7个月2天</t>
  </si>
  <si>
    <t>如果#baby#喜欢撕纸，别急着阻止，先看看这些好处吧</t>
  </si>
  <si>
    <t>0岁7个月3天</t>
  </si>
  <si>
    <t>建立这种亲子依恋关系，帮助#baby#成为自信宝宝</t>
  </si>
  <si>
    <t>0岁7个月4天</t>
  </si>
  <si>
    <t>#baby##relative#，#baby#长牙后，为了未来牙齿健康，要记得带#ta#定期做口腔检查</t>
  </si>
  <si>
    <t>0岁7个月5天</t>
  </si>
  <si>
    <t>小宝宝如果出现反复间断性腹泻，可能是这个原因，来了解下吧</t>
  </si>
  <si>
    <t>0岁7个月6天</t>
  </si>
  <si>
    <t>听劝！宝宝吃水果不是越多越好，对照看看7月龄应该吃多少吧</t>
  </si>
  <si>
    <t>0岁7个月7天</t>
  </si>
  <si>
    <t>现在是#baby#学习爬行的最好阶段，这些小游戏对爬行很有帮助，快带#ta#练习一下吧</t>
  </si>
  <si>
    <t>0岁7个月8天</t>
  </si>
  <si>
    <t>#baby##relative#，宝宝黏人、爱哭？是#ta#懂更多了，做好这两点是关键</t>
  </si>
  <si>
    <t>0岁7个月9天</t>
  </si>
  <si>
    <t>易过敏食物什么时候添加最好？看完这篇再做决定</t>
  </si>
  <si>
    <t>0岁7个月10天</t>
  </si>
  <si>
    <t>宝宝爬得少，不爬就走正常吗？了解宝宝爬行发展规律解惑吧</t>
  </si>
  <si>
    <t>0岁7个月12天</t>
  </si>
  <si>
    <t>人类幼崽的花式爬行姿势，看看#baby#的是哪种？</t>
  </si>
  <si>
    <t>0岁7个月14天</t>
  </si>
  <si>
    <t>7个月宝宝喜欢爬来爬去，家里这些有东西的需要注意，小心宝宝一不留神受伤🤕️</t>
  </si>
  <si>
    <t>0岁7个月15天</t>
  </si>
  <si>
    <t>7个月的#baby#可以吃面条了，粒粒面、蝴蝶面……不同形状适合什么月龄？今天教你5个选购标准</t>
  </si>
  <si>
    <t>0岁7个月16天</t>
  </si>
  <si>
    <t>宝宝长湿疹，什么样的湿疹药膏更适合#ta#，能快速起效？</t>
  </si>
  <si>
    <t>0岁7个月17天</t>
  </si>
  <si>
    <t>宝宝鼻塞、流鼻涕好难受，通鼻妙招快收藏</t>
  </si>
  <si>
    <t>0岁7个月18天</t>
  </si>
  <si>
    <t>爱扔东西不是坏习惯，宝宝正在发展这些能力……</t>
  </si>
  <si>
    <t>0岁7个月19天</t>
  </si>
  <si>
    <t>适合7个月宝宝的音乐🎵小游戏来了，在家就能锻炼宝宝精细动作</t>
  </si>
  <si>
    <t>0岁7个月20天</t>
  </si>
  <si>
    <t>不同年龄的宝宝每天需要喝多少水？快来对照着看看#baby#现在要喝多少水吧</t>
  </si>
  <si>
    <t>0岁7个月21天</t>
  </si>
  <si>
    <t>轻轻一吻就可能传染，哪些情况不建议随意亲吻#baby#？</t>
  </si>
  <si>
    <t>0岁7个月22天</t>
  </si>
  <si>
    <t>#baby##relative#，#baby#到了长牙期又痒又难受，可以给#ta#试试磨牙饼干，建议这样选</t>
  </si>
  <si>
    <t>0岁7个月23天</t>
  </si>
  <si>
    <t>宝宝发烧用药有讲究，给你推荐两种安全、有效的退烧药，2个月以上就能吃，记得收藏起来</t>
  </si>
  <si>
    <t>0岁7个月24天</t>
  </si>
  <si>
    <t>#baby#辅食马上要升级了，很快就可以吃小颗粒状的辅食了，来提前看看8个月的辅食安排</t>
  </si>
  <si>
    <t>0岁7个月25天</t>
  </si>
  <si>
    <t>宝宝8月龄的体检时间快到了，这些项目需要重视</t>
  </si>
  <si>
    <t>0岁7个月26天</t>
  </si>
  <si>
    <t>身体有事屁💨先知，宝宝出现这2种屁就得注意了</t>
  </si>
  <si>
    <t>0岁7个月27天</t>
  </si>
  <si>
    <t>宝宝喜欢敲东西捣乱，先别制止，这说明#ta#的心智在成长</t>
  </si>
  <si>
    <t>0岁7个月28天</t>
  </si>
  <si>
    <t>常温、冷藏酸奶#baby#都能喝吗？宝宝酸奶到底应该怎么选更合适？</t>
  </si>
  <si>
    <t>宝宝8个月体检清单来了，这些项目比你想的重要</t>
  </si>
  <si>
    <t>0岁7个月29天</t>
  </si>
  <si>
    <t>苗王“麻腮风”，宝宝最容易出现反应的疫苗💉，建议提前了解护理方法</t>
  </si>
  <si>
    <t>0岁8个月0天</t>
  </si>
  <si>
    <t>#baby#8个月啦，可以尝试让#ta#自己动手吃饭了，来看看这个阶段的生长发育特点</t>
  </si>
  <si>
    <t>0岁8个月1天</t>
  </si>
  <si>
    <t>产后6个月到1年是身材恢复“黄金期”，这样减肥更有效</t>
  </si>
  <si>
    <t>0岁8个月2天</t>
  </si>
  <si>
    <t>宝宝老是爱打人？可能是因为家长不小心做了错误引导</t>
  </si>
  <si>
    <t>0岁8个月3天</t>
  </si>
  <si>
    <t>宝宝突然爱黏人和哭闹？其实是他进入了分离焦虑期</t>
  </si>
  <si>
    <t>0岁8个月4天</t>
  </si>
  <si>
    <t>想让宝宝语言爆发，1岁前的语言准备期要把握好</t>
  </si>
  <si>
    <t>0岁8个月5天</t>
  </si>
  <si>
    <t>宝宝打完疫苗之后身上起了疹子，是正常反应吗？需不需要带#ta#看医生？</t>
  </si>
  <si>
    <t>0岁8个月6天</t>
  </si>
  <si>
    <t>你给#baby#吃过胚芽米吗？1 颗胚芽米等于 108 颗普通大米到底是真是假，今天给你扒一扒</t>
  </si>
  <si>
    <t>0岁8个月7天</t>
  </si>
  <si>
    <t>淡水鲈鱼的 DHA 含量比三文鱼还高，这几种便宜淡水鱼很适合给#baby#补DHA</t>
  </si>
  <si>
    <t>0岁8个月8天</t>
  </si>
  <si>
    <t>#baby#光吃三餐不太够，怎么给#ta#加餐能有营养又不占肚子呢？</t>
  </si>
  <si>
    <t>0岁8个月9天</t>
  </si>
  <si>
    <t>#baby#8个月啦，可以尝试多吃这种食物，让#ta#喜欢上吃饭，学会自己吃饭</t>
  </si>
  <si>
    <t>0岁8个月11天</t>
  </si>
  <si>
    <t>1岁前培养好这个习惯，宝宝以后学习能力不会差</t>
  </si>
  <si>
    <t>0岁8个月12天</t>
  </si>
  <si>
    <t>宝宝8月龄的体检时间到了，这次体检你需要重视这些项目</t>
  </si>
  <si>
    <t>宝宝多大可以喝酸奶？月龄建议+3大选购标准全讲清</t>
  </si>
  <si>
    <t>0岁8个月13天</t>
  </si>
  <si>
    <t>#baby##relative#，#baby#是不是很爱撕书、咬书？别因为这些错过#ta#宝贵的阅读启蒙期</t>
  </si>
  <si>
    <t>0岁8个月14天</t>
  </si>
  <si>
    <t>不想以后追着喂饭，现在开始就要培养#baby#的吃饭习惯，养出爱干饭宝宝</t>
  </si>
  <si>
    <t>0岁8个月15天</t>
  </si>
  <si>
    <t>宝宝一咳嗽就要雾化吗？一篇讲清宝宝雾化的注意事项</t>
  </si>
  <si>
    <t>0岁8个月16天</t>
  </si>
  <si>
    <t>#baby#8个月了，想要#ta#以后更好吃饭，可以让#ta#开始接触勺子了</t>
  </si>
  <si>
    <t>0岁8个月17天</t>
  </si>
  <si>
    <t>#baby#可以尝试扶站了，掌握正确的练习方法，才能早点学会自己站</t>
  </si>
  <si>
    <t>0岁8个月18天</t>
  </si>
  <si>
    <t>宝宝正常几个月开始长第一颗牙🦷？什么时候还没长牙需要去看医生？</t>
  </si>
  <si>
    <t>0岁8个月19天</t>
  </si>
  <si>
    <t>#baby##relative#，宝宝1岁以内不建议吃的食物，看看#baby#吃过吗？</t>
  </si>
  <si>
    <t>0岁8个月20天</t>
  </si>
  <si>
    <t>宝宝的便便里有鼻涕状黏液，是正常的吗？</t>
  </si>
  <si>
    <t>0岁8个月21天</t>
  </si>
  <si>
    <t>#baby##relative#，这么做可以有效提高#baby#的免疫力，你需要了解下</t>
  </si>
  <si>
    <t>0岁8个月22天</t>
  </si>
  <si>
    <t>#baby##relative#，#baby#在两种情况下需要额外补锌，来看看#ta#要不要补</t>
  </si>
  <si>
    <t>0岁8个月23天</t>
  </si>
  <si>
    <t>8个月时给#baby#养成这些好习惯，分分钟成为干饭超香宝宝</t>
  </si>
  <si>
    <t>0岁8个月24天</t>
  </si>
  <si>
    <t>#baby#现在一天要睡多久才算够？对照年龄来看看吧</t>
  </si>
  <si>
    <t>0岁8个月25天</t>
  </si>
  <si>
    <t>#baby#要9个月啦，能吃更大块一点的辅食了，快来提前看看9个月的辅食怎么安排吧</t>
  </si>
  <si>
    <t>0岁8个月26天</t>
  </si>
  <si>
    <t>#baby##relative#，一种营养价值秒杀其他谷物的食物，你给#baby#吃了吗？</t>
  </si>
  <si>
    <t>0岁8个月27天</t>
  </si>
  <si>
    <t>家里这些超过80分贝的东西，可能损伤宝宝的听力，赶快收起来</t>
  </si>
  <si>
    <t>0岁8个月28天</t>
  </si>
  <si>
    <t>这份“抗生素黑名单”请收藏，上面的抗生素不要随便给#baby#用，副作用很明显</t>
  </si>
  <si>
    <t>0岁9个月0天</t>
  </si>
  <si>
    <t>#baby#9个月啦，能扶着站起来了吗？来看看这个阶段#ta#的生长发育特点</t>
  </si>
  <si>
    <t>0岁9个月1天</t>
  </si>
  <si>
    <t>#baby#爱“打👋”妈妈的脸吗？被打后不建议这么回应#ta#</t>
  </si>
  <si>
    <t>0岁9个月2天</t>
  </si>
  <si>
    <t>带#baby#出远门坐高铁🚄，需要给#ta#买票吗？建议提前看这篇攻略</t>
  </si>
  <si>
    <t>0岁9个月4天</t>
  </si>
  <si>
    <t>9个月宝宝还不会爬，可能是这两个原因</t>
  </si>
  <si>
    <t>0岁9个月5天</t>
  </si>
  <si>
    <t>宝宝出现这些症状，一定要注意⚠️，可能是佝偻病！</t>
  </si>
  <si>
    <t>0岁9个月7天</t>
  </si>
  <si>
    <t>#baby##relative#，给#baby#做辅食，还在看食物相克图谱吗？建议先了解下这个科学结论</t>
  </si>
  <si>
    <t>0岁9个月8天</t>
  </si>
  <si>
    <t>别等烫伤才后悔！家长一定要为9月龄宝宝做的5道安全防线</t>
  </si>
  <si>
    <t>0岁9个月9天</t>
  </si>
  <si>
    <t>⚠️9月宝宝咳嗽出现这种呼吸声，警惕肺炎前兆（速查对照）</t>
  </si>
  <si>
    <t>0岁9个月11天</t>
  </si>
  <si>
    <t>每天30分钟亲子共餐，让#baby#爱上吃饭🍚，需要你的碗筷声</t>
  </si>
  <si>
    <t>0岁9个月12天</t>
  </si>
  <si>
    <t>0岁9个月14天</t>
  </si>
  <si>
    <t>学步车已经被多个国家列入了黑名单，这些安全隐患得了解一下</t>
  </si>
  <si>
    <t>0岁9个月18天</t>
  </si>
  <si>
    <t>已经给#baby#买过医保了，还需要再专门买商业保险吗？</t>
  </si>
  <si>
    <t>0岁9个月19天</t>
  </si>
  <si>
    <t>不建议牵着#baby#帮#ta#学走路，对#ta#来说可能是在帮到忙</t>
  </si>
  <si>
    <t>0岁9个月21天</t>
  </si>
  <si>
    <t>一咳嗽就吃止咳药可能会害了宝宝，建议先这样帮#ta#快速化痰</t>
  </si>
  <si>
    <t>0岁9个月23天</t>
  </si>
  <si>
    <t>抓住#baby#开口说话的2个黄金窗口期，帮#ta#开启小话唠模式</t>
  </si>
  <si>
    <t>0岁9个月25天</t>
  </si>
  <si>
    <t>#baby#快10个月了，可以啃咬食物了，快来看看适合10月龄宝宝的辅食安排</t>
  </si>
  <si>
    <t>0岁9个月26天</t>
  </si>
  <si>
    <t>#baby##relative#，#baby#平常好动还是好静？不同性格的宝宝要用不一样的引导方法哦</t>
  </si>
  <si>
    <t>0岁9个月27天</t>
  </si>
  <si>
    <t>激素药膏≠毒药，宝宝湿疹医生开的这些激素药可以正常用</t>
  </si>
  <si>
    <t>0岁9个月28天</t>
  </si>
  <si>
    <t>10个男宝有9个爱摸私处，你的反应对宝宝很重要</t>
  </si>
  <si>
    <t>0岁10个月0天</t>
  </si>
  <si>
    <t>#baby#10个月啦，可能会模仿你说“妈妈”“爸爸”哦，来看看这个阶段的生长发育特点</t>
  </si>
  <si>
    <t>0岁10个月1天</t>
  </si>
  <si>
    <t>这些玩具对现在的#baby#来说有些危险，快看看你都给#ta#买过没？</t>
  </si>
  <si>
    <t>0岁10个月2天</t>
  </si>
  <si>
    <t>宝宝说话早更聪明？对照《0～6岁语言发育时间表》看看#baby#的发育进度</t>
  </si>
  <si>
    <t>0岁10个月3天</t>
  </si>
  <si>
    <t>#baby##relative#，这是国家禁止儿童用的中药注射剂，为了#baby#请收藏</t>
  </si>
  <si>
    <t>0岁10个月4天</t>
  </si>
  <si>
    <t>带#baby#时不知道怎么陪#ta#玩？可以试试哈佛的五步互动法</t>
  </si>
  <si>
    <t>0岁10个月5天</t>
  </si>
  <si>
    <t>#baby##relative#，#baby#开始喜欢枕着东西睡觉了吗？按这个标准给#ta#选个适合的枕头吧</t>
  </si>
  <si>
    <t>0岁10个月6天</t>
  </si>
  <si>
    <t>#baby#到底多大才能吃油盐酱醋糖？</t>
  </si>
  <si>
    <t>0岁10个月8天</t>
  </si>
  <si>
    <t>0岁10个月10天</t>
  </si>
  <si>
    <t>这样吃奶可能让宝宝长蛀牙，快来看看如何避免</t>
  </si>
  <si>
    <t>0岁10个月11天</t>
  </si>
  <si>
    <t>很快就可以给#baby#试试稍硬一点的辅食了，来提前看看11个月的辅食安排</t>
  </si>
  <si>
    <t>0岁10个月12天</t>
  </si>
  <si>
    <t>#baby#会说“啊”这种语气词吗？来看看这个阶段的语言发育水平吧</t>
  </si>
  <si>
    <t>0岁10个月13天</t>
  </si>
  <si>
    <t>#baby##relative#，这7种方法，让宝宝爱上吃蔬菜🥬，快来试一试</t>
  </si>
  <si>
    <t>0岁10个月15天</t>
  </si>
  <si>
    <t>和家人视频聊天，会影响宝宝视力和发育吗？其实用对方法，反而对#ta#有好处</t>
  </si>
  <si>
    <t>0岁10个月16天</t>
  </si>
  <si>
    <t>#baby#最近在学走路吗？练习的时候这3个误区需要特别注意</t>
  </si>
  <si>
    <t>0岁10个月18天</t>
  </si>
  <si>
    <t>这个海姆立克急救法一定要学会，孩子吃东西卡喉咙再也不会慌</t>
  </si>
  <si>
    <t>0岁10个月20天</t>
  </si>
  <si>
    <t>0岁10个月21天</t>
  </si>
  <si>
    <t>#baby#1岁后，这样分配奶量和辅食让#ta#长肉又长个</t>
  </si>
  <si>
    <t>0岁10个月22天</t>
  </si>
  <si>
    <t>这些“喂药绝招”很危险！教你3个安全有效的方法，不怕宝宝吃药难</t>
  </si>
  <si>
    <t>0岁10个月24天</t>
  </si>
  <si>
    <t>宝宝发烧到抽搐、翻白眼时，怎么应对能快速帮助#ta#？</t>
  </si>
  <si>
    <t>0岁10个月25天</t>
  </si>
  <si>
    <t>给宝宝选食品你会看配料表吗？这些不利成分要注意</t>
  </si>
  <si>
    <t>0岁10个月29天</t>
  </si>
  <si>
    <t>#baby#1岁后适合看什么书📚？收藏好这份优质绘本清单</t>
  </si>
  <si>
    <t>0岁11个月0天</t>
  </si>
  <si>
    <t>#baby#11个月啦，具备自己拿勺吃饭的能力了，#ta#还会有哪些进步呢？来看看这个阶段的生长发育特点</t>
  </si>
  <si>
    <t>0岁11个月1天</t>
  </si>
  <si>
    <t>断奶后胸部缩水还下垂？这份乳房自救指南快码住🐎</t>
  </si>
  <si>
    <t>0岁11个月2天</t>
  </si>
  <si>
    <t>锻炼精细动作能促进#baby#的大脑发育，今天整理了4类动手小游戏，在家就能陪#ta#玩，快试试吧</t>
  </si>
  <si>
    <t>0岁11个月6天</t>
  </si>
  <si>
    <t>宝宝爱尖叫怎么办？这样做，能让#ta#快速安静下来</t>
  </si>
  <si>
    <t>0岁11个月8天</t>
  </si>
  <si>
    <t>“右脑开发”能让宝宝更聪明？这是伪命题，真相其实是这样</t>
  </si>
  <si>
    <t>0岁11个月9天</t>
  </si>
  <si>
    <t>1岁女宝宝爱摸私处，家长该如何应对？</t>
  </si>
  <si>
    <t>0岁11个月12天</t>
  </si>
  <si>
    <t>宝宝万物都往嘴里放，制止也没用？试试这两招</t>
  </si>
  <si>
    <t>0岁11个月13天</t>
  </si>
  <si>
    <t>牵宝宝手时需要注意这2点，小心出现脱臼</t>
  </si>
  <si>
    <t>0岁11个月14天</t>
  </si>
  <si>
    <t>30%的孩子会长难看的双排牙，大部分是因为吃辅食期间做了这件事，来看看你踩雷了没</t>
  </si>
  <si>
    <t>0岁11个月15天</t>
  </si>
  <si>
    <t>给#baby#选鞋子不是“越软越好”，好的学步鞋一定要看这5点</t>
  </si>
  <si>
    <t>0岁11个月16天</t>
  </si>
  <si>
    <t>#baby#马上1岁了，母乳或配方奶不再是唯一的选择，#ta#可以开始喝牛奶了，来看下牛奶选购指南表吧</t>
  </si>
  <si>
    <t>0岁11个月18天</t>
  </si>
  <si>
    <t>宝宝多大说话算正常？来对照0~6岁语言发育对照表看看吧！</t>
  </si>
  <si>
    <t>0岁11个月19天</t>
  </si>
  <si>
    <t>带#baby#逛超市的时候这样做，不但能锻炼#ta#的记忆力，连早教的钱都可以省了</t>
  </si>
  <si>
    <t>0岁11个月22天</t>
  </si>
  <si>
    <t>#baby#开始对书感兴趣了吗？做好这3点让#ta#爱上读绘本</t>
  </si>
  <si>
    <t>0岁11个月23天</t>
  </si>
  <si>
    <t>宝宝这不吃那不吃，可能是运动量不够，也可能是这些奇奇怪怪的原因，快来看看吧</t>
  </si>
  <si>
    <t>0岁11个月24天</t>
  </si>
  <si>
    <t>#baby##relative#，试试这7个益智小游戏，让#baby#爱玩更聪明</t>
  </si>
  <si>
    <t>0岁11个月25天</t>
  </si>
  <si>
    <t>#baby#什么时候打水痘疫苗、打几针？接种时间表在这里👉</t>
  </si>
  <si>
    <t>0岁11个月28天</t>
  </si>
  <si>
    <t>#baby#马上就可以做1周岁体检了，这些项目可千万不能错过</t>
  </si>
  <si>
    <t>1岁0个月0天</t>
  </si>
  <si>
    <t>#baby#1岁啦，可以吃大人饭了，来看看这个阶段#ta#的生长发育特点</t>
  </si>
  <si>
    <t>1岁0个月1天</t>
  </si>
  <si>
    <t>宝宝什么都想摸一摸，尝一尝？这5个安全问题要注意</t>
  </si>
  <si>
    <t>1岁0个月2天</t>
  </si>
  <si>
    <t>教宝宝说话的7大误区，第5个很多人容易犯，了解清楚别做无用功</t>
  </si>
  <si>
    <t>1岁0个月3天</t>
  </si>
  <si>
    <t>#baby##relative#，最近在给#baby#选牙刷🪥吗？快来对照这几个国家标准看看吧</t>
  </si>
  <si>
    <t>1岁0个月4天</t>
  </si>
  <si>
    <t>#baby#1岁不着急加盐🧂，但别忘记补碘哦</t>
  </si>
  <si>
    <t>1岁0个月5天</t>
  </si>
  <si>
    <t>孩子经常感冒怎么办？是免疫力太低了吗？看完你就知道了</t>
  </si>
  <si>
    <t>孩子一年感冒几次才正常？医生：这个频率正常，出现这种情况才要警惕</t>
  </si>
  <si>
    <t>1岁0个月6天</t>
  </si>
  <si>
    <t>有必要带#baby#上早教班吗？你得想清楚为了什么而买单</t>
  </si>
  <si>
    <t>1岁0个月7天</t>
  </si>
  <si>
    <t>别以为不给宝宝吃糖，#ta#就不会长蛀牙了，造成蛀牙的因素还有这些</t>
  </si>
  <si>
    <t>1岁0个月8天</t>
  </si>
  <si>
    <t>孩子总喜欢一个人呆不代表是自闭症，但当出现这些症状，家长一定要干预，快来对照看看</t>
  </si>
  <si>
    <t>1岁0个月9天</t>
  </si>
  <si>
    <t>当父母在孩子面前不可避免吵架时，怎样才能不破坏#ta#的安全感？</t>
  </si>
  <si>
    <t>1岁0个月10天</t>
  </si>
  <si>
    <t>宝宝不爱吃饭，可能是这5个原因，对症下药解决起来更快速</t>
  </si>
  <si>
    <t>1岁0个月11天</t>
  </si>
  <si>
    <t>宝宝感冒时，如果医生给配了这些感冒药，请一定要坚决说“不”</t>
  </si>
  <si>
    <t>1岁0个月12天</t>
  </si>
  <si>
    <t>别让这个坏习惯影响宝宝的颜值和智力，用3个步骤快速判断一下</t>
  </si>
  <si>
    <t>1岁0个月13天</t>
  </si>
  <si>
    <t>别给宝宝买“儿童酱油”啦，这5个标准才是选酱油的关键，快收藏起来备用吧</t>
  </si>
  <si>
    <t>1岁0个月14天</t>
  </si>
  <si>
    <t>1口奶酪=8口牛奶，你给宝宝吃奶酪了吗？包装上有这行字的不建议给#ta#买</t>
  </si>
  <si>
    <t>1岁0个月15天</t>
  </si>
  <si>
    <t>#baby##relative#，给#baby#刷牙记住这九个字，轻松正确刷牙，快来试试吧</t>
  </si>
  <si>
    <t>1岁0个月16天</t>
  </si>
  <si>
    <t>宝宝多大开口算说话晚？原因和对策都在这</t>
  </si>
  <si>
    <t>1岁0个月17天</t>
  </si>
  <si>
    <t>明明会走路了，可出门总要抱？其实和#ta#的心理需求有关。有几个让宝宝自己走路的小方法，不妨试试</t>
  </si>
  <si>
    <t>1岁0个月18天</t>
  </si>
  <si>
    <t>宝宝挑食不可怕，这样吃不仅保证宝宝日常营养均衡，还能让#ta#爱上吃饭</t>
  </si>
  <si>
    <t>1岁0个月19天</t>
  </si>
  <si>
    <t>什么时候能迎来#baby#的语言爆发？速查0～6岁语言发育时间表，看看#ta#水平到哪儿啦</t>
  </si>
  <si>
    <t>1岁0个月20天</t>
  </si>
  <si>
    <t>为什么说健康的亲子关系，会影响宝宝的一生？原因在这里</t>
  </si>
  <si>
    <t>1岁0个月21天</t>
  </si>
  <si>
    <t>家长必看，带宝宝出门，不要让#ta#站在这3个汽车视野盲区，司机完全看不到！</t>
  </si>
  <si>
    <t>1岁0个月22天</t>
  </si>
  <si>
    <t>#baby##relative#，卫健委发布新规：0～6岁孩子一共做13次眼科检查，来看看具体应该怎么做</t>
  </si>
  <si>
    <t>1岁0个月23天</t>
  </si>
  <si>
    <t>加上“儿童”字眼就贵出好几倍，不要给宝宝买这5种“儿童食品”，营养不高添加剂还不少</t>
  </si>
  <si>
    <t>1岁0个月24天</t>
  </si>
  <si>
    <t>宝宝咳嗽1周还不好，要留心#ta#有没有这些症状，小心是这种病在作怪</t>
  </si>
  <si>
    <t>1岁后奶不是主食了！补碘别忽视，3个来源帮娃补足关键营养</t>
  </si>
  <si>
    <t>1岁0个月25天</t>
  </si>
  <si>
    <t>#baby##relative#，粥、果汁、肉汤的“营养密度低”，不适合给正在长身体的#baby#吃，一定要留心了</t>
  </si>
  <si>
    <t>1岁0个月26天</t>
  </si>
  <si>
    <t>#baby##relative#，试试这7款简单不花钱的小游戏，让#baby#越玩越聪明</t>
  </si>
  <si>
    <t>1岁0个月28天</t>
  </si>
  <si>
    <t>#baby#1岁啦，这样立规矩，让#ta#越大越好带</t>
  </si>
  <si>
    <t>1岁1个月0天</t>
  </si>
  <si>
    <t>#baby#1岁1个月啦，走得更稳当了，来看看这个阶段#ta#的生长发育特点</t>
  </si>
  <si>
    <t>1岁1个月1天</t>
  </si>
  <si>
    <t>#baby#每天吃多少，营养才够？一个公式教你这样搭配家里食材，营养满满</t>
  </si>
  <si>
    <t>1岁1个月2天</t>
  </si>
  <si>
    <t>#baby#进入语言启蒙关键期了，怎样让#ta#越说越好？</t>
  </si>
  <si>
    <t>1岁1个月3天</t>
  </si>
  <si>
    <t>#baby##relative#，O型腿、X型腿……想让#baby#拥有完美大长腿，你有必要知道这些！</t>
  </si>
  <si>
    <t>1岁1个月4天</t>
  </si>
  <si>
    <t>如果#baby#主要是爷爷奶奶在带，这篇文章很建议全家人都读一读，可以统一家庭教育观念</t>
  </si>
  <si>
    <t>1岁1个月6天</t>
  </si>
  <si>
    <t>#baby#会说几个词语了？来看看13-16个月宝宝的语言发育特点，提高#ta#的语言能力</t>
  </si>
  <si>
    <t>1岁1个月10天</t>
  </si>
  <si>
    <t>#baby#一天吃多少水果比较好？饭前吃还是饭后吃更好？</t>
  </si>
  <si>
    <t>1岁1个月11天</t>
  </si>
  <si>
    <t>#baby#1岁后可以开始立规矩啦！这样做让你更省心</t>
  </si>
  <si>
    <t>1岁1个月12天</t>
  </si>
  <si>
    <t>如何跟#baby#高质量互动，「哈佛五步互动法」给你支招</t>
  </si>
  <si>
    <t>1岁1个月14天</t>
  </si>
  <si>
    <t>宝宝占有欲强、不愿分享？这可不是#ta#小气，原因在这里</t>
  </si>
  <si>
    <t>1岁1个月15天</t>
  </si>
  <si>
    <t>这几种食物里的糖含量高到让你吃惊，别再给宝宝吃了</t>
  </si>
  <si>
    <t>1岁1个月17天</t>
  </si>
  <si>
    <t>宝宝不爱玩精心挑选的玩具，反而爱玩家里的抽纸、遥控器，原因其实是这个</t>
  </si>
  <si>
    <t>1岁1个月18天</t>
  </si>
  <si>
    <t>#baby#进入学说话的关键时期了，这份适合亲子阅读的书单📖建议收藏</t>
  </si>
  <si>
    <t>1岁1个月19天</t>
  </si>
  <si>
    <t>最简单的一张纸就能在家给#baby#做早教，还能锻炼#ta#各方面的能力，快来学起来吧</t>
  </si>
  <si>
    <t>1岁1个月20天</t>
  </si>
  <si>
    <t>3类有利于#baby#大脑发育的玩具，你家里都有了吗？</t>
  </si>
  <si>
    <t>1岁1个月23天</t>
  </si>
  <si>
    <t>宝宝发烧先别急着给#ta#吃退烧药，建议有这些症状再吃</t>
  </si>
  <si>
    <t>1岁1个月25天</t>
  </si>
  <si>
    <t>感冒后，宝宝鼻塞、流鼻涕🤧好难受怎么办？不吃药的通鼻小妙招快来给#ta#试试吧</t>
  </si>
  <si>
    <t>1岁1个月26天</t>
  </si>
  <si>
    <t>#baby##relative#，预防#baby#蛀牙，可以开始给#ta#涂氟了，具体需要注意什么都在这里</t>
  </si>
  <si>
    <t>1岁1个月27天</t>
  </si>
  <si>
    <t>54个孩子里就可能有1个自闭症，和普通孩子比起来，他们有这两个特点</t>
  </si>
  <si>
    <t>1岁2个月0天</t>
  </si>
  <si>
    <t>#baby#1岁2个月啦，会自己走路了吗？来看看这个阶段#ta#的生长发育特点</t>
  </si>
  <si>
    <t>1岁2个月3天</t>
  </si>
  <si>
    <t>#baby##relative#，都说身高靠遗传，但抓住这2个关键期，也能帮#ta#长高高</t>
  </si>
  <si>
    <t>1岁2个月4天</t>
  </si>
  <si>
    <t>怎么让#baby#越玩越聪明，这些益智玩法快收藏起来吧！</t>
  </si>
  <si>
    <t>1岁2个月5天</t>
  </si>
  <si>
    <t>#baby##relative#，快来看你给#baby#买的牙膏选对了吗？符合这4个标准对#ta#更好</t>
  </si>
  <si>
    <t>1岁2个月6天</t>
  </si>
  <si>
    <t>#baby##relative#，可以这样培养#baby#的社交能力，帮#ta#成为社交中的自信宝宝</t>
  </si>
  <si>
    <t>1岁2个月7天</t>
  </si>
  <si>
    <t>在家也能陪#baby#玩的锻炼手指小游戏，让#ta#越玩手指越灵活，快来试试吧</t>
  </si>
  <si>
    <t>1岁2个月9天</t>
  </si>
  <si>
    <t>宝宝便秘不要随便给#ta#吃香蕉🍌，这些食物更靠谱！这份缓解便秘的食物清单，赶紧收藏吧</t>
  </si>
  <si>
    <t>1岁2个月12天</t>
  </si>
  <si>
    <t>这样陪#baby#，每天30分钟胜过24小时</t>
  </si>
  <si>
    <t>1岁2个月16天</t>
  </si>
  <si>
    <t>宝宝不小心磕到牙齿怎么办？如果出现这种情况，需要立即带#ta#去医院🏥</t>
  </si>
  <si>
    <t>1岁2个月18天</t>
  </si>
  <si>
    <t>#baby##relative#，是时候培养#baby#的节奏感啦，这些在家就能进行的音乐小游戏，快陪#ta#做起来吧</t>
  </si>
  <si>
    <t>1岁2个月21天</t>
  </si>
  <si>
    <t>#baby##relative#，铅是潜伏在宝宝身边的“隐形毒药”，快排查下家里有没有这些铅源，小心影响宝宝的智力</t>
  </si>
  <si>
    <t>1岁2个月23天</t>
  </si>
  <si>
    <t>为什么人类幼崽都爱脱袜子？背后的原因其实是这些</t>
  </si>
  <si>
    <t>1岁2个月28天</t>
  </si>
  <si>
    <t>1岁3个月0天</t>
  </si>
  <si>
    <t>#baby#1岁3个月啦，白天2次小睡会合并成1次，来看看这个阶段#ta#的生长发育特点</t>
  </si>
  <si>
    <t>1岁3个月2天</t>
  </si>
  <si>
    <t>听说骨密度检查能看出缺不缺钙，有必要给孩子做吗？</t>
  </si>
  <si>
    <t>1岁3个月5天</t>
  </si>
  <si>
    <t>#baby##relative#，陪娃是个体力活，试试这10个有趣又省力的创意小游戏，还让#baby#越玩越聪明</t>
  </si>
  <si>
    <t>1岁3个月6天</t>
  </si>
  <si>
    <t>宝宝突然爱咬人？可能是这个原因，快来看看怎么解决吧</t>
  </si>
  <si>
    <t>1岁3个月12天</t>
  </si>
  <si>
    <t>#baby##relative#，试试给#baby#玩音乐玩具吧，陶冶情操的同时还能促进大脑发育</t>
  </si>
  <si>
    <t>1岁3个月16天</t>
  </si>
  <si>
    <t>#baby##relative#，用这3种超简单的方法教会#baby#认识形状吧，可以促进#ta#的认知发展</t>
  </si>
  <si>
    <t>1岁3个月21天</t>
  </si>
  <si>
    <t>1岁3个月26天</t>
  </si>
  <si>
    <t>1岁3个月28天</t>
  </si>
  <si>
    <t>10个男宝9个爱摸私处，你的反应对了吗？</t>
  </si>
  <si>
    <t>1岁4个月0天</t>
  </si>
  <si>
    <t>#baby#1岁4个月啦，蹲下后自己能稳稳站起来了吗？来看看这个阶段#ta#的生长发育特点</t>
  </si>
  <si>
    <t>1岁4个月1天</t>
  </si>
  <si>
    <t>宝宝每天能吃多少盐？这些看起来清淡的食物，其实含盐量很高，不建议给#ta#吃</t>
  </si>
  <si>
    <t>1岁4个月4天</t>
  </si>
  <si>
    <t>隔多久怀二胎比较好？一篇讲清楚各年龄段的利弊</t>
  </si>
  <si>
    <t>1岁4个月6天</t>
  </si>
  <si>
    <t>#baby#可以跟你对话两个来回了吗？来看看17~20个月宝宝的语言发育特点，提高#ta#的语言能力</t>
  </si>
  <si>
    <t>1岁4个月11天</t>
  </si>
  <si>
    <t>1岁4个月14天</t>
  </si>
  <si>
    <t>#baby##relative#，#baby#现在越来越聪明了，可以挑些这样的绘本，更符合#ta#现阶段的阅读需求</t>
  </si>
  <si>
    <t>1岁4个月18天</t>
  </si>
  <si>
    <t>#baby#开始学认颜色了吗？别一股脑儿地教，按这个顺序来#ta#可能记得更牢</t>
  </si>
  <si>
    <t>1岁4个月20天</t>
  </si>
  <si>
    <t>宝宝一在妈妈面前，就可能变得不乖，其实是因为这个原因</t>
  </si>
  <si>
    <t>1岁4个月23天</t>
  </si>
  <si>
    <t>#baby#开始学习如厕了吗？这些类型的小马桶更容易让#ta#想尝试哦</t>
  </si>
  <si>
    <t>1岁4个月24天</t>
  </si>
  <si>
    <t>最近在给#baby#听什么歌🎵？可以试试这些音乐，让#ta#越听越聪明</t>
  </si>
  <si>
    <t>1岁4个月25天</t>
  </si>
  <si>
    <t>#baby##relative#，给宝宝选食品你会看配料表吗？这些不利成分要特别注意</t>
  </si>
  <si>
    <t>1岁5个月0天</t>
  </si>
  <si>
    <t>#baby#1岁5个月啦，会叫爷爷奶奶了吗，来看看这个阶段#ta#的生长发育特点</t>
  </si>
  <si>
    <t>1岁5个月1天</t>
  </si>
  <si>
    <t>#baby##relative#，带#baby#做好如厕训练的这3个准备，告别纸尿裤没那么难</t>
  </si>
  <si>
    <t>1岁5个月6天</t>
  </si>
  <si>
    <t>1岁后，宝宝越来越容易哭闹怎么办？并不是因为#ta#太调皮，而是这个原因</t>
  </si>
  <si>
    <t>1岁5个月8天</t>
  </si>
  <si>
    <t>#baby##relative#，怕#baby#沉迷电子产品不敢给#ta#看动画片？正确的做法在这里</t>
  </si>
  <si>
    <t>别急着让宝宝坐马桶！先做好这3个准备，告别纸尿裤事半功倍</t>
  </si>
  <si>
    <t>1岁5个月9天</t>
  </si>
  <si>
    <t>1岁5个月12天</t>
  </si>
  <si>
    <t>宝宝什么都爱放嘴里啃，制止也没用？其实#ta#是在学习和探索</t>
  </si>
  <si>
    <t>1岁5个月15天</t>
  </si>
  <si>
    <t>#baby#开始走路了，不知道买什么鞋比较好？认准这5个标准就行</t>
  </si>
  <si>
    <t>1岁5个月17天</t>
  </si>
  <si>
    <t>1岁后#baby#就可以喝牛奶🥛了，2步教你选出适合#ta#喝的好牛奶</t>
  </si>
  <si>
    <t>1岁5个月19天</t>
  </si>
  <si>
    <t>#baby##relative#，带#baby#逛超市的时候这么做，不但锻炼#ta#的记忆力，连早教的钱都省了</t>
  </si>
  <si>
    <t>1岁5个月21天</t>
  </si>
  <si>
    <t>#baby##relative#，培养#baby#的专注力，蒙特梭利的这几招很管用，快收藏起来</t>
  </si>
  <si>
    <t>1岁5个月22天</t>
  </si>
  <si>
    <t>#baby##relative#，做好这3点，让#baby#轻松爱上绘本阅读</t>
  </si>
  <si>
    <t>1岁5个月23天</t>
  </si>
  <si>
    <t>“好孩子是夸出来的”，#baby#需要夸但不能“瞎夸”，2个方向让你夸到点上</t>
  </si>
  <si>
    <t>1岁5个月24天</t>
  </si>
  <si>
    <t>#baby##relative#，这7个亲子互动小游戏，让#baby#爱玩更聪明，快来试试吧！</t>
  </si>
  <si>
    <t>1岁5个月26天</t>
  </si>
  <si>
    <t>宝宝经常说“不”？教你5招，搞定#ta#的小叛逆</t>
  </si>
  <si>
    <t>1岁5个月27天</t>
  </si>
  <si>
    <t>#baby#可以尝试“大人饭”了！快来看看怎么让#ta#吃得开心，吃得放心吧</t>
  </si>
  <si>
    <t>1岁5个月28天</t>
  </si>
  <si>
    <t>宝宝马上可以做1岁半体检了，来看看都会检查什么项目吧</t>
  </si>
  <si>
    <t>1岁6个月0天</t>
  </si>
  <si>
    <t>#baby#1岁半啦，能自己蹲下来捡玩具吗？来看看这个阶段#ta#的生长发育特点</t>
  </si>
  <si>
    <t>1岁6个月1天</t>
  </si>
  <si>
    <t>越来越多宝宝有蛀牙风险，为了#baby#的小白牙，现在开始从这些小细节爱护起来吧</t>
  </si>
  <si>
    <t>1岁6个月2天</t>
  </si>
  <si>
    <t>#baby#说话分得清“你”和“我”了吗？说错的话，需要及时纠正#ta#吗？</t>
  </si>
  <si>
    <t>1岁6个月3天</t>
  </si>
  <si>
    <t>宝宝有时任性脾气大，不听#ta#的就炸毛，可能是这个原因，我们需要这好4件事</t>
  </si>
  <si>
    <t>1岁6个月4天</t>
  </si>
  <si>
    <t>#baby##relative#，教你用游戏的育儿方式养出一个省心省力的天使宝宝</t>
  </si>
  <si>
    <t>1岁6个月6天</t>
  </si>
  <si>
    <t>宝宝在家淘气、出门怂？别担心，说明#ta#在按时长大哦</t>
  </si>
  <si>
    <t>1岁6个月7天</t>
  </si>
  <si>
    <t>发现这些信号的时候就可以给#baby#穿内裤了，这些材质#ta#穿着会更舒服</t>
  </si>
  <si>
    <t>1岁6个月8天</t>
  </si>
  <si>
    <t>1岁6个月9天</t>
  </si>
  <si>
    <t>隔辈亲究竟是好还是坏？祖辈们对#baby#的宠爱对#ta#来说意味着这些</t>
  </si>
  <si>
    <t>1岁6个月12天</t>
  </si>
  <si>
    <t>1岁6个月13天</t>
  </si>
  <si>
    <t>别给宝宝买“儿童酱油”了，可能吃起来还不如普通酱油好</t>
  </si>
  <si>
    <t>1岁6个月15天</t>
  </si>
  <si>
    <t>1岁6个月21天</t>
  </si>
  <si>
    <t>1岁6个月24天</t>
  </si>
  <si>
    <t>宝宝拉肚子可能是这些原因，如果出现这些症状，需要及时带#ta#就医</t>
  </si>
  <si>
    <t>1岁6个月26天</t>
  </si>
  <si>
    <t>给宝宝刷牙像打仗？闭嘴巴、咬牙刷、哭闹……试试这3招，让#ta#乖乖配合你</t>
  </si>
  <si>
    <t>1岁7个月0天</t>
  </si>
  <si>
    <t>#baby#1岁7个月啦，会熟练地用勺子吃饭了吗？来看看这个阶段#ta#的生长发育特点</t>
  </si>
  <si>
    <t>1岁7个月1天</t>
  </si>
  <si>
    <t>1岁7个月2天</t>
  </si>
  <si>
    <t>#baby##relative#，这里有一份0-6岁注意力标准对照表！快来看看#baby#达标了吗？</t>
  </si>
  <si>
    <t>1岁7个月5天</t>
  </si>
  <si>
    <t>宝宝越来越不爱早睡，主要是这个原因，治疗#ta#的睡前拖延，你的立场很重要</t>
  </si>
  <si>
    <t>1岁7个月6天</t>
  </si>
  <si>
    <t>给#baby#吃水果不是越多越好，对照看看1岁7个月吃多少比较合适吧</t>
  </si>
  <si>
    <t>1岁7个月7天</t>
  </si>
  <si>
    <t>1岁7个月8天</t>
  </si>
  <si>
    <t>1岁7个月11天</t>
  </si>
  <si>
    <t>#baby##relative#，宝宝发脾气的时候，不知道该怎么管？这样“立规矩”，宝宝才会听</t>
  </si>
  <si>
    <t>1岁7个月13天</t>
  </si>
  <si>
    <t>当心别给宝宝吃太多，营养过剩可能会影响到#ta#的身高</t>
  </si>
  <si>
    <t>1岁7个月14天</t>
  </si>
  <si>
    <t>1岁7个月15天</t>
  </si>
  <si>
    <t>1岁7个月16天</t>
  </si>
  <si>
    <t>宝宝晚上9点后还没睡，就会担心影响#ta#长高？别担心，看这篇，了解睡眠和长个的真正关系</t>
  </si>
  <si>
    <t>1岁7个月18天</t>
  </si>
  <si>
    <t>#baby#正是学说话的关键时期，多看些这种类型的绘本，能帮#ta#词汇量突飞猛进</t>
  </si>
  <si>
    <t>1岁7个月19天</t>
  </si>
  <si>
    <t>1岁7个月20天</t>
  </si>
  <si>
    <t>1岁7个月21天</t>
  </si>
  <si>
    <t>如果宝宝出现依赖安抚物的情况，不需要让#ta#刻意戒，但这3种情况要注意</t>
  </si>
  <si>
    <t>1岁7个月23天</t>
  </si>
  <si>
    <t>1岁7个月24天</t>
  </si>
  <si>
    <t>溺爱对宝宝是“害”不是“爱”，来看看如何把握住宠爱#ta#的度吧</t>
  </si>
  <si>
    <t>1岁7个月25天</t>
  </si>
  <si>
    <t>1岁7个月28天</t>
  </si>
  <si>
    <t>宝宝看起来吃饭多，但这些营养素可能摄入不足，可能会影响他的智力、免疫力</t>
  </si>
  <si>
    <t>1岁8个月0天</t>
  </si>
  <si>
    <t>#baby#1岁8个月啦，是不是特别喜欢跟人说话？来看看这个阶段#ta#的生长发育特点</t>
  </si>
  <si>
    <t>1岁8个月2天</t>
  </si>
  <si>
    <t>#baby##relative#，为什么说健康的亲子关系，会影响宝宝的一生？原因在这里</t>
  </si>
  <si>
    <t>1岁8个月3天</t>
  </si>
  <si>
    <t>1岁8个月4天</t>
  </si>
  <si>
    <t>宝宝多大开口算说话晚？避免#ta#语言发展迟缓的方法在这里</t>
  </si>
  <si>
    <t>1岁8个月5天</t>
  </si>
  <si>
    <t>1岁8个月6天</t>
  </si>
  <si>
    <t>不想宝宝越大越难带，这些规矩趁早要立好</t>
  </si>
  <si>
    <t>1岁8个月7天</t>
  </si>
  <si>
    <t>#baby#要告别尿不湿了？只需4步教会#ta#自主如厕🚽</t>
  </si>
  <si>
    <t>1岁8个月9天</t>
  </si>
  <si>
    <t>1岁8个月12天</t>
  </si>
  <si>
    <t>1岁8个月14天</t>
  </si>
  <si>
    <t>1岁8个月16天</t>
  </si>
  <si>
    <t>1～2岁是乳牙外伤高发期，如果是这两种情况，不用着急忙慌去医院</t>
  </si>
  <si>
    <t>1岁8个月17天</t>
  </si>
  <si>
    <t>#baby##relative#，快来陪#baby#玩玩这7个适龄玩具和游戏，让#ta#越玩越聪明</t>
  </si>
  <si>
    <t>1岁8个月18天</t>
  </si>
  <si>
    <t>带宝宝坐车一定不要做这8件事，关系到他的生命安全</t>
  </si>
  <si>
    <t>1岁8个月19天</t>
  </si>
  <si>
    <t>这3个常见的习惯，可能让宝宝变成地包天，一定要矫正回来</t>
  </si>
  <si>
    <t>1岁8个月23天</t>
  </si>
  <si>
    <t>宝宝很爱脱掉自己的袜子？别着急给#ta#穿上，光脚的好处你想象不到</t>
  </si>
  <si>
    <t>1岁8个月28天</t>
  </si>
  <si>
    <t>这份“抗生素黑名单”请收藏，上面的抗生素不要随便给宝宝用，副作用很明显</t>
  </si>
  <si>
    <t>1岁9个月0天</t>
  </si>
  <si>
    <t>#baby#1岁9个月啦，对钻桌底、床底特别感兴趣，来看看这个阶段#ta#的生长发育特点</t>
  </si>
  <si>
    <t>1岁9个月2天</t>
  </si>
  <si>
    <t>1岁9个月6天</t>
  </si>
  <si>
    <t>1岁9个月7天</t>
  </si>
  <si>
    <t>#baby#会说多少词语了？来看看1岁9个月宝宝的语言发育特点吧</t>
  </si>
  <si>
    <t>1岁9个月12天</t>
  </si>
  <si>
    <t>#baby##relative#，#baby#喜欢反复看同一集动画片吗？原来是因为“越重复，越聪明”</t>
  </si>
  <si>
    <t>1岁9个月14天</t>
  </si>
  <si>
    <t>宝宝的牙齿🦷如果出现了这样的小白点，可能是蛀牙的前兆，快重视起来</t>
  </si>
  <si>
    <t>1岁9个月21天</t>
  </si>
  <si>
    <t>1岁9个月24天</t>
  </si>
  <si>
    <t>你会看#baby#的“生长曲线”吗？一张图帮你判断#ta#的身高体重是否合格，快来试一下吧</t>
  </si>
  <si>
    <t>1岁10个月0天</t>
  </si>
  <si>
    <t>#baby#1岁10个月啦，会说些简单的句子了吗？来看看这个阶段#ta#的生长发育特点</t>
  </si>
  <si>
    <t>1岁10个月3天</t>
  </si>
  <si>
    <t>#baby##relative#，1～4岁穿衣能力年龄对照表来啦，对照看看#baby#到哪一步了吧</t>
  </si>
  <si>
    <t>1岁10个月4天</t>
  </si>
  <si>
    <t>#baby##relative#，这6个提升#baby#智力的简单方法，在家也能做，快来试试吧</t>
  </si>
  <si>
    <t>1岁10个月6天</t>
  </si>
  <si>
    <t>想给宝宝买商业保险？买之前可以看看这份避雷须知</t>
  </si>
  <si>
    <t>1岁10个月7天</t>
  </si>
  <si>
    <t>想给宝宝上托班？实地考察时一定要看这6点，选出来得更靠谱</t>
  </si>
  <si>
    <t>1岁10个月9天</t>
  </si>
  <si>
    <t>1岁10个月10天</t>
  </si>
  <si>
    <t>两岁的孩子即将进入#ta#的第一个叛逆期，快来了解下这个时候#ta#到底在想什么吧</t>
  </si>
  <si>
    <t>1岁10个月11天</t>
  </si>
  <si>
    <t>1岁10个月13天</t>
  </si>
  <si>
    <t>#baby##relative#，让#baby#爱上吃蔬菜🥬的七个“套路”，快来试试吧</t>
  </si>
  <si>
    <t>1岁10个月14天</t>
  </si>
  <si>
    <t>2岁正是培养#baby#阅读兴趣的关键期，试试这份绘本必读清单，让#ta#爱上阅读</t>
  </si>
  <si>
    <t>1岁10个月20天</t>
  </si>
  <si>
    <t>#baby##relative#，这样高质量陪伴#baby#，每天30分钟胜过24小时，给#ta#满满安全感</t>
  </si>
  <si>
    <t>1岁10个月22天</t>
  </si>
  <si>
    <t>每次喂宝宝吃药💊都是一场大战？分享你几个顺利喂药方式，快收藏起来吧</t>
  </si>
  <si>
    <t>1岁10个月23天</t>
  </si>
  <si>
    <t>这样教宝宝擤鼻涕🤧，简单又好玩，以防#ta#擤鼻涕时搞得鼻子红彤彤</t>
  </si>
  <si>
    <t>1岁11个月0天</t>
  </si>
  <si>
    <t>#baby#1岁11个月啦，玩捉迷藏会藏头不藏脚吗？来看看这个阶段#ta#的生长发育特点</t>
  </si>
  <si>
    <t>1岁11个月1天</t>
  </si>
  <si>
    <t>1岁11个月6天</t>
  </si>
  <si>
    <t>宝宝进入2岁叛逆期，可能会经常冲你发脾气，来看看该怎么应对</t>
  </si>
  <si>
    <t>1岁11个月11天</t>
  </si>
  <si>
    <t>宝宝拉肚子，做完检查不知道怎么看化验单？教你读懂这9项</t>
  </si>
  <si>
    <t>1岁11个月12天</t>
  </si>
  <si>
    <t>宝宝和别人玩的时候突然打人？别着急批评#ta#，来看看正确的应对方法</t>
  </si>
  <si>
    <t>1岁11个月15天</t>
  </si>
  <si>
    <t>总和宝宝说“不可以”#ta#也不会听，不如试试这5个套路让#ta#乖乖听话</t>
  </si>
  <si>
    <t>1岁11个月19天</t>
  </si>
  <si>
    <t>1岁11个月20天</t>
  </si>
  <si>
    <t>容易让宝宝长蛀牙的，不只是糖🍬，还有这3类食物</t>
  </si>
  <si>
    <t>1岁11个月21天</t>
  </si>
  <si>
    <t>1岁11个月24天</t>
  </si>
  <si>
    <t>#baby##relative#，#baby#马上就可以做2周岁体检了，这些项目需要重点注意</t>
  </si>
  <si>
    <t>月龄</t>
  </si>
  <si>
    <t>push总数</t>
  </si>
  <si>
    <t>0-1月</t>
  </si>
  <si>
    <t>1-2月</t>
  </si>
  <si>
    <t>2-3月</t>
  </si>
  <si>
    <t>3-4个月</t>
  </si>
  <si>
    <t>4-5个月</t>
  </si>
  <si>
    <t>5-6个月</t>
  </si>
  <si>
    <t>6-7个月</t>
  </si>
  <si>
    <t>7-8个月</t>
  </si>
  <si>
    <t>8-9个月</t>
  </si>
  <si>
    <t>9-10个月</t>
  </si>
  <si>
    <t>10-11个月</t>
  </si>
  <si>
    <t>11-12个月</t>
  </si>
  <si>
    <t>9-12月</t>
  </si>
  <si>
    <t>1岁-2岁</t>
  </si>
  <si>
    <t>总数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</si>
</sst>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b/>
      <sz val="12"/>
      <name val="等线"/>
      <charset val="134"/>
      <scheme val="minor"/>
    </font>
    <font>
      <b/>
      <sz val="12"/>
      <color rgb="FF000000"/>
      <name val="等线"/>
      <charset val="134"/>
      <scheme val="minor"/>
    </font>
    <font>
      <sz val="10"/>
      <name val="Arial"/>
      <charset val="134"/>
    </font>
    <font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color rgb="FFFE0300"/>
      <name val="Arial"/>
      <charset val="134"/>
    </font>
    <font>
      <sz val="10"/>
      <color rgb="FF00B14D"/>
      <name val="Arial"/>
      <charset val="134"/>
    </font>
    <font>
      <sz val="12"/>
      <color rgb="FF00B14D"/>
      <name val="等线"/>
      <charset val="134"/>
      <scheme val="minor"/>
    </font>
    <font>
      <sz val="12"/>
      <name val="等线"/>
      <charset val="134"/>
    </font>
    <font>
      <sz val="12"/>
      <color rgb="FF0F1115"/>
      <name val="Helvetica Neue"/>
      <charset val="134"/>
    </font>
    <font>
      <sz val="1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3CE"/>
        <bgColor indexed="64"/>
      </patternFill>
    </fill>
    <fill>
      <patternFill patternType="solid">
        <fgColor rgb="FFF9E5D7"/>
        <bgColor indexed="64"/>
      </patternFill>
    </fill>
    <fill>
      <patternFill patternType="solid">
        <fgColor rgb="FF00B14D"/>
        <bgColor indexed="64"/>
      </patternFill>
    </fill>
    <fill>
      <patternFill patternType="solid">
        <fgColor rgb="FF92D04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4" applyNumberFormat="0" applyAlignment="0" applyProtection="0">
      <alignment vertical="center"/>
    </xf>
    <xf numFmtId="0" fontId="23" fillId="9" borderId="5" applyNumberFormat="0" applyAlignment="0" applyProtection="0">
      <alignment vertical="center"/>
    </xf>
    <xf numFmtId="0" fontId="24" fillId="9" borderId="4" applyNumberFormat="0" applyAlignment="0" applyProtection="0">
      <alignment vertical="center"/>
    </xf>
    <xf numFmtId="0" fontId="25" fillId="10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4" borderId="0" xfId="0" applyFill="1">
      <alignment vertical="center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10" fontId="4" fillId="2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10" fontId="6" fillId="3" borderId="0" xfId="0" applyNumberFormat="1" applyFont="1" applyFill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7" fillId="3" borderId="0" xfId="0" applyFont="1" applyFill="1" applyAlignment="1">
      <alignment vertical="center" wrapText="1"/>
    </xf>
    <xf numFmtId="0" fontId="8" fillId="3" borderId="0" xfId="0" applyFont="1" applyFill="1" applyAlignment="1">
      <alignment horizontal="center" vertical="center" wrapText="1"/>
    </xf>
    <xf numFmtId="10" fontId="0" fillId="3" borderId="0" xfId="0" applyNumberForma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10" fontId="9" fillId="3" borderId="0" xfId="0" applyNumberFormat="1" applyFont="1" applyFill="1" applyAlignment="1">
      <alignment horizontal="center" vertical="center" wrapText="1"/>
    </xf>
    <xf numFmtId="10" fontId="6" fillId="5" borderId="0" xfId="0" applyNumberFormat="1" applyFont="1" applyFill="1" applyAlignment="1">
      <alignment horizontal="center" vertical="center" wrapText="1"/>
    </xf>
    <xf numFmtId="10" fontId="0" fillId="5" borderId="0" xfId="0" applyNumberFormat="1" applyFill="1" applyAlignment="1">
      <alignment horizontal="center" vertical="center" wrapText="1"/>
    </xf>
    <xf numFmtId="10" fontId="9" fillId="0" borderId="0" xfId="0" applyNumberFormat="1" applyFont="1" applyAlignment="1">
      <alignment horizontal="center" vertical="center" wrapText="1"/>
    </xf>
    <xf numFmtId="10" fontId="0" fillId="2" borderId="0" xfId="0" applyNumberForma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" defaultRowHeight="16.5" customHeight="1"/>
  <cols>
    <col min="2" max="2" width="14.75" style="24" customWidth="1"/>
    <col min="4" max="4" width="10" style="30"/>
    <col min="6" max="6" width="10" style="30"/>
    <col min="8" max="8" width="10" style="30"/>
    <col min="10" max="10" width="10" style="30"/>
    <col min="12" max="12" width="73.375" customWidth="1"/>
  </cols>
  <sheetData>
    <row r="1" ht="18" spans="1:12">
      <c r="A1" s="31"/>
      <c r="B1" s="32" t="s">
        <v>0</v>
      </c>
      <c r="C1" s="31"/>
      <c r="D1" s="30" t="s">
        <v>1</v>
      </c>
      <c r="E1" s="31"/>
      <c r="F1" s="30" t="s">
        <v>2</v>
      </c>
      <c r="G1" s="31"/>
      <c r="H1" s="30" t="s">
        <v>3</v>
      </c>
      <c r="I1" s="31"/>
      <c r="J1" s="30" t="s">
        <v>4</v>
      </c>
      <c r="K1" s="31"/>
    </row>
    <row r="2" ht="68.25" customHeight="1" spans="1:12">
      <c r="A2" s="33" t="s">
        <v>5</v>
      </c>
      <c r="B2" s="24" t="s">
        <v>6</v>
      </c>
      <c r="C2" s="33" t="s">
        <v>7</v>
      </c>
      <c r="D2" s="30">
        <v>2742</v>
      </c>
      <c r="E2" s="33" t="s">
        <v>8</v>
      </c>
      <c r="F2" s="30">
        <v>0</v>
      </c>
      <c r="G2" s="33" t="s">
        <v>9</v>
      </c>
      <c r="H2" s="30">
        <v>0</v>
      </c>
      <c r="I2" s="33" t="s">
        <v>10</v>
      </c>
      <c r="J2" s="30">
        <v>15</v>
      </c>
      <c r="K2" s="33" t="s">
        <v>11</v>
      </c>
      <c r="L2" s="36" t="str">
        <f t="shared" ref="L2:L65" si="0">A2&amp;B2&amp;C2&amp;D2&amp;E2&amp;F2&amp;G2&amp;H2&amp;I2&amp;J2&amp;K2</f>
        <v>update `parenting_daily_news_first`  set `pushTitle` ="#baby##relative#，感觉不到奶阵不代表没奶！学会判断宝宝这些表现，轻松掌握哺乳节奏",`updateTime`  = now() WHERE `dnId` =2742and `ageYear`  =0and `ageMonth`  =0and `ageDay`  =15;</v>
      </c>
    </row>
    <row r="3" ht="68.25" customHeight="1" spans="1:12">
      <c r="A3" s="33" t="s">
        <v>5</v>
      </c>
      <c r="B3" s="24" t="s">
        <v>12</v>
      </c>
      <c r="C3" s="33" t="s">
        <v>7</v>
      </c>
      <c r="D3" s="30">
        <v>4105</v>
      </c>
      <c r="E3" s="33" t="s">
        <v>8</v>
      </c>
      <c r="F3" s="30">
        <v>0</v>
      </c>
      <c r="G3" s="33" t="s">
        <v>9</v>
      </c>
      <c r="H3" s="30">
        <v>0</v>
      </c>
      <c r="I3" s="33" t="s">
        <v>10</v>
      </c>
      <c r="J3" s="30">
        <v>17</v>
      </c>
      <c r="K3" s="33" t="s">
        <v>11</v>
      </c>
      <c r="L3" s="36" t="str">
        <f t="shared" si="0"/>
        <v>update `parenting_daily_news_first`  set `pushTitle` ="月子期间想动不敢动？这7个安全动作躺着就能做，不仅能瘦身，还能恢复盆底肌",`updateTime`  = now() WHERE `dnId` =4105and `ageYear`  =0and `ageMonth`  =0and `ageDay`  =17;</v>
      </c>
    </row>
    <row r="4" ht="54.75" customHeight="1" spans="1:12">
      <c r="A4" s="33" t="s">
        <v>5</v>
      </c>
      <c r="B4" s="24" t="s">
        <v>13</v>
      </c>
      <c r="C4" s="33" t="s">
        <v>7</v>
      </c>
      <c r="D4" s="30">
        <v>133</v>
      </c>
      <c r="E4" s="33" t="s">
        <v>8</v>
      </c>
      <c r="F4" s="30">
        <v>0</v>
      </c>
      <c r="G4" s="33" t="s">
        <v>9</v>
      </c>
      <c r="H4" s="30">
        <v>0</v>
      </c>
      <c r="I4" s="33" t="s">
        <v>10</v>
      </c>
      <c r="J4" s="30">
        <v>22</v>
      </c>
      <c r="K4" s="33" t="s">
        <v>11</v>
      </c>
      <c r="L4" s="36" t="str">
        <f t="shared" si="0"/>
        <v>update `parenting_daily_news_first`  set `pushTitle` ="观察便便和喂奶一样重要！识别9类便便，快速了解#baby#的健康情况",`updateTime`  = now() WHERE `dnId` =133and `ageYear`  =0and `ageMonth`  =0and `ageDay`  =22;</v>
      </c>
    </row>
    <row r="5" ht="81.75" customHeight="1" spans="1:12">
      <c r="A5" s="33" t="s">
        <v>5</v>
      </c>
      <c r="B5" s="24" t="s">
        <v>14</v>
      </c>
      <c r="C5" s="33" t="s">
        <v>7</v>
      </c>
      <c r="D5" s="30">
        <v>4034</v>
      </c>
      <c r="E5" s="33" t="s">
        <v>8</v>
      </c>
      <c r="F5" s="30">
        <v>0</v>
      </c>
      <c r="G5" s="33" t="s">
        <v>9</v>
      </c>
      <c r="H5" s="30">
        <v>0</v>
      </c>
      <c r="I5" s="33" t="s">
        <v>10</v>
      </c>
      <c r="J5" s="30">
        <v>23</v>
      </c>
      <c r="K5" s="33" t="s">
        <v>11</v>
      </c>
      <c r="L5" s="36" t="str">
        <f t="shared" si="0"/>
        <v>update `parenting_daily_news_first`  set `pushTitle` ="产后除了肚子变小，子宫复位、恶露消失、月经恢复……这些关键变化和时间点，你都要了解",`updateTime`  = now() WHERE `dnId` =4034and `ageYear`  =0and `ageMonth`  =0and `ageDay`  =23;</v>
      </c>
    </row>
    <row r="6" ht="81.75" customHeight="1" spans="1:12">
      <c r="A6" s="33" t="s">
        <v>5</v>
      </c>
      <c r="B6" s="24" t="s">
        <v>15</v>
      </c>
      <c r="C6" s="33" t="s">
        <v>7</v>
      </c>
      <c r="D6" s="30">
        <v>2889</v>
      </c>
      <c r="E6" s="33" t="s">
        <v>8</v>
      </c>
      <c r="F6" s="30">
        <v>0</v>
      </c>
      <c r="G6" s="33" t="s">
        <v>9</v>
      </c>
      <c r="H6" s="30">
        <v>0</v>
      </c>
      <c r="I6" s="33" t="s">
        <v>10</v>
      </c>
      <c r="J6" s="30">
        <v>24</v>
      </c>
      <c r="K6" s="33" t="s">
        <v>11</v>
      </c>
      <c r="L6" s="36" t="str">
        <f t="shared" si="0"/>
        <v>update `parenting_daily_news_first`  set `pushTitle` ="满月体检不只看身高体重！医生还会检查黄疸、囟门等，收藏这份指南，带#baby#体检不迷茫",`updateTime`  = now() WHERE `dnId` =2889and `ageYear`  =0and `ageMonth`  =0and `ageDay`  =24;</v>
      </c>
    </row>
    <row r="7" ht="54.75" customHeight="1" spans="1:12">
      <c r="A7" s="33" t="s">
        <v>5</v>
      </c>
      <c r="B7" s="24" t="s">
        <v>16</v>
      </c>
      <c r="C7" s="33" t="s">
        <v>7</v>
      </c>
      <c r="D7" s="30">
        <v>6379</v>
      </c>
      <c r="E7" s="33" t="s">
        <v>8</v>
      </c>
      <c r="F7" s="30">
        <v>0</v>
      </c>
      <c r="G7" s="33" t="s">
        <v>9</v>
      </c>
      <c r="H7" s="30">
        <v>0</v>
      </c>
      <c r="I7" s="33" t="s">
        <v>10</v>
      </c>
      <c r="J7" s="30">
        <v>27</v>
      </c>
      <c r="K7" s="33" t="s">
        <v>11</v>
      </c>
      <c r="L7" s="36" t="str">
        <f t="shared" si="0"/>
        <v>update `parenting_daily_news_first`  set `pushTitle` ="经常趴和不趴的宝宝，差别不只在头型，还会影响大运动发育！",`updateTime`  = now() WHERE `dnId` =6379and `ageYear`  =0and `ageMonth`  =0and `ageDay`  =27;</v>
      </c>
    </row>
    <row r="8" ht="68.25" customHeight="1" spans="1:12">
      <c r="A8" s="33" t="s">
        <v>5</v>
      </c>
      <c r="B8" s="24" t="s">
        <v>17</v>
      </c>
      <c r="C8" s="33" t="s">
        <v>7</v>
      </c>
      <c r="D8" s="30">
        <v>4035</v>
      </c>
      <c r="E8" s="33" t="s">
        <v>8</v>
      </c>
      <c r="F8" s="30">
        <v>0</v>
      </c>
      <c r="G8" s="33" t="s">
        <v>9</v>
      </c>
      <c r="H8" s="30">
        <v>0</v>
      </c>
      <c r="I8" s="33" t="s">
        <v>10</v>
      </c>
      <c r="J8" s="30">
        <v>29</v>
      </c>
      <c r="K8" s="33" t="s">
        <v>11</v>
      </c>
      <c r="L8" s="36" t="str">
        <f t="shared" si="0"/>
        <v>update `parenting_daily_news_first`  set `pushTitle` ="产后肚子大，收腹带要不要买？只有这2种情况建议用，避免影响产后恢复",`updateTime`  = now() WHERE `dnId` =4035and `ageYear`  =0and `ageMonth`  =0and `ageDay`  =29;</v>
      </c>
    </row>
    <row r="9" ht="54.75" customHeight="1" spans="1:12">
      <c r="A9" s="33" t="s">
        <v>5</v>
      </c>
      <c r="B9" s="24" t="s">
        <v>18</v>
      </c>
      <c r="C9" s="33" t="s">
        <v>7</v>
      </c>
      <c r="D9" s="30">
        <v>4246</v>
      </c>
      <c r="E9" s="33" t="s">
        <v>8</v>
      </c>
      <c r="F9" s="30">
        <v>0</v>
      </c>
      <c r="G9" s="33" t="s">
        <v>9</v>
      </c>
      <c r="H9" s="30">
        <v>0</v>
      </c>
      <c r="I9" s="33" t="s">
        <v>10</v>
      </c>
      <c r="J9" s="30">
        <v>8</v>
      </c>
      <c r="K9" s="33" t="s">
        <v>11</v>
      </c>
      <c r="L9" s="36" t="str">
        <f t="shared" si="0"/>
        <v>update `parenting_daily_news_first`  set `pushTitle` ="照顾#baby#总是手忙脚乱？这12个护理禁忌，从喂奶到睡觉，一个都别碰",`updateTime`  = now() WHERE `dnId` =4246and `ageYear`  =0and `ageMonth`  =0and `ageDay`  =8;</v>
      </c>
    </row>
    <row r="10" ht="54.75" customHeight="1" spans="1:12">
      <c r="A10" s="33" t="s">
        <v>5</v>
      </c>
      <c r="B10" s="24" t="s">
        <v>19</v>
      </c>
      <c r="C10" s="33" t="s">
        <v>7</v>
      </c>
      <c r="D10" s="30">
        <v>225</v>
      </c>
      <c r="E10" s="33" t="s">
        <v>8</v>
      </c>
      <c r="F10" s="30">
        <v>0</v>
      </c>
      <c r="G10" s="33" t="s">
        <v>9</v>
      </c>
      <c r="H10" s="30">
        <v>0</v>
      </c>
      <c r="I10" s="33" t="s">
        <v>10</v>
      </c>
      <c r="J10" s="30">
        <v>9</v>
      </c>
      <c r="K10" s="33" t="s">
        <v>11</v>
      </c>
      <c r="L10" s="36" t="str">
        <f t="shared" si="0"/>
        <v>update `parenting_daily_news_first`  set `pushTitle` ="乳头被吸破该怎么护理？别等疼了再查，这份“应急处理方法”先存好",`updateTime`  = now() WHERE `dnId` =225and `ageYear`  =0and `ageMonth`  =0and `ageDay`  =9;</v>
      </c>
    </row>
    <row r="11" ht="68.25" customHeight="1" spans="1:12">
      <c r="A11" s="33" t="s">
        <v>5</v>
      </c>
      <c r="B11" s="24" t="s">
        <v>20</v>
      </c>
      <c r="C11" s="33" t="s">
        <v>7</v>
      </c>
      <c r="D11" s="30">
        <v>5908</v>
      </c>
      <c r="E11" s="33" t="s">
        <v>8</v>
      </c>
      <c r="F11" s="30">
        <v>0</v>
      </c>
      <c r="G11" s="33" t="s">
        <v>9</v>
      </c>
      <c r="H11" s="30">
        <v>10</v>
      </c>
      <c r="I11" s="33" t="s">
        <v>10</v>
      </c>
      <c r="J11" s="30">
        <v>10</v>
      </c>
      <c r="K11" s="33" t="s">
        <v>11</v>
      </c>
      <c r="L11" s="36" t="str">
        <f t="shared" si="0"/>
        <v>update `parenting_daily_news_first`  set `pushTitle` ="宝宝没吃糖就不会蛀牙？错！这个常见的吃奶习惯，才是很多宝宝第一颗蛀牙的“元凶”",`updateTime`  = now() WHERE `dnId` =5908and `ageYear`  =0and `ageMonth`  =10and `ageDay`  =10;</v>
      </c>
    </row>
    <row r="12" ht="54.75" customHeight="1" spans="1:12">
      <c r="A12" s="33" t="s">
        <v>5</v>
      </c>
      <c r="B12" s="24" t="s">
        <v>21</v>
      </c>
      <c r="C12" s="33" t="s">
        <v>7</v>
      </c>
      <c r="D12" s="30">
        <v>4345</v>
      </c>
      <c r="E12" s="33" t="s">
        <v>8</v>
      </c>
      <c r="F12" s="30">
        <v>0</v>
      </c>
      <c r="G12" s="33" t="s">
        <v>9</v>
      </c>
      <c r="H12" s="30">
        <v>10</v>
      </c>
      <c r="I12" s="33" t="s">
        <v>10</v>
      </c>
      <c r="J12" s="30">
        <v>11</v>
      </c>
      <c r="K12" s="33" t="s">
        <v>11</v>
      </c>
      <c r="L12" s="36" t="str">
        <f t="shared" si="0"/>
        <v>update `parenting_daily_news_first`  set `pushTitle` ="#baby#的辅食马上要有新变化啦！提前了解11个月的辅食要点和一周食谱",`updateTime`  = now() WHERE `dnId` =4345and `ageYear`  =0and `ageMonth`  =10and `ageDay`  =11;</v>
      </c>
    </row>
    <row r="13" ht="54.75" customHeight="1" spans="1:12">
      <c r="A13" s="33" t="s">
        <v>5</v>
      </c>
      <c r="B13" s="24" t="s">
        <v>22</v>
      </c>
      <c r="C13" s="33" t="s">
        <v>7</v>
      </c>
      <c r="D13" s="30">
        <v>6094</v>
      </c>
      <c r="E13" s="33" t="s">
        <v>8</v>
      </c>
      <c r="F13" s="30">
        <v>0</v>
      </c>
      <c r="G13" s="33" t="s">
        <v>9</v>
      </c>
      <c r="H13" s="30">
        <v>10</v>
      </c>
      <c r="I13" s="33" t="s">
        <v>10</v>
      </c>
      <c r="J13" s="30">
        <v>13</v>
      </c>
      <c r="K13" s="33" t="s">
        <v>11</v>
      </c>
      <c r="L13" s="36" t="str">
        <f t="shared" si="0"/>
        <v>update `parenting_daily_news_first`  set `pushTitle` ="让宝宝从“不吃青菜”变成“我还要”，你只差这7个巧妙的方法",`updateTime`  = now() WHERE `dnId` =6094and `ageYear`  =0and `ageMonth`  =10and `ageDay`  =13;</v>
      </c>
    </row>
    <row r="14" ht="68.25" customHeight="1" spans="1:12">
      <c r="A14" s="33" t="s">
        <v>5</v>
      </c>
      <c r="B14" s="24" t="s">
        <v>23</v>
      </c>
      <c r="C14" s="33" t="s">
        <v>7</v>
      </c>
      <c r="D14" s="30">
        <v>6380</v>
      </c>
      <c r="E14" s="33" t="s">
        <v>8</v>
      </c>
      <c r="F14" s="30">
        <v>0</v>
      </c>
      <c r="G14" s="33" t="s">
        <v>9</v>
      </c>
      <c r="H14" s="30">
        <v>10</v>
      </c>
      <c r="I14" s="33" t="s">
        <v>10</v>
      </c>
      <c r="J14" s="30">
        <v>15</v>
      </c>
      <c r="K14" s="33" t="s">
        <v>11</v>
      </c>
      <c r="L14" s="36" t="str">
        <f t="shared" si="0"/>
        <v>update `parenting_daily_news_first`  set `pushTitle` ="宝宝视频聊天，其实没你想的那么“伤眼”！用对方法，还有这些意想不到的好处",`updateTime`  = now() WHERE `dnId` =6380and `ageYear`  =0and `ageMonth`  =10and `ageDay`  =15;</v>
      </c>
    </row>
    <row r="15" ht="68.25" customHeight="1" spans="1:12">
      <c r="A15" s="33" t="s">
        <v>5</v>
      </c>
      <c r="B15" s="24" t="s">
        <v>24</v>
      </c>
      <c r="C15" s="33" t="s">
        <v>7</v>
      </c>
      <c r="D15" s="30">
        <v>100</v>
      </c>
      <c r="E15" s="33" t="s">
        <v>8</v>
      </c>
      <c r="F15" s="30">
        <v>0</v>
      </c>
      <c r="G15" s="33" t="s">
        <v>9</v>
      </c>
      <c r="H15" s="30">
        <v>10</v>
      </c>
      <c r="I15" s="33" t="s">
        <v>10</v>
      </c>
      <c r="J15" s="30">
        <v>18</v>
      </c>
      <c r="K15" s="33" t="s">
        <v>11</v>
      </c>
      <c r="L15" s="36" t="str">
        <f t="shared" si="0"/>
        <v>update `parenting_daily_news_first`  set `pushTitle` ="宝宝噎住时能救命！每个家长都要学会“海姆立克急救法”，附完整图解，建议收藏备用",`updateTime`  = now() WHERE `dnId` =100and `ageYear`  =0and `ageMonth`  =10and `ageDay`  =18;</v>
      </c>
    </row>
    <row r="16" ht="41.25" customHeight="1" spans="1:12">
      <c r="A16" s="33" t="s">
        <v>5</v>
      </c>
      <c r="B16" s="24" t="s">
        <v>25</v>
      </c>
      <c r="C16" s="33" t="s">
        <v>7</v>
      </c>
      <c r="D16" s="30">
        <v>2665</v>
      </c>
      <c r="E16" s="33" t="s">
        <v>8</v>
      </c>
      <c r="F16" s="30">
        <v>0</v>
      </c>
      <c r="G16" s="33" t="s">
        <v>9</v>
      </c>
      <c r="H16" s="30">
        <v>10</v>
      </c>
      <c r="I16" s="33" t="s">
        <v>10</v>
      </c>
      <c r="J16" s="30">
        <v>1</v>
      </c>
      <c r="K16" s="33" t="s">
        <v>11</v>
      </c>
      <c r="L16" s="36" t="str">
        <f t="shared" si="0"/>
        <v>update `parenting_daily_news_first`  set `pushTitle` ="警惕！这6种玩具很危险💥，快检查#baby#有没有在玩",`updateTime`  = now() WHERE `dnId` =2665and `ageYear`  =0and `ageMonth`  =10and `ageDay`  =1;</v>
      </c>
    </row>
    <row r="17" ht="54.75" customHeight="1" spans="1:12">
      <c r="A17" s="33" t="s">
        <v>5</v>
      </c>
      <c r="B17" s="24" t="s">
        <v>26</v>
      </c>
      <c r="C17" s="33" t="s">
        <v>7</v>
      </c>
      <c r="D17" s="30">
        <v>6164</v>
      </c>
      <c r="E17" s="33" t="s">
        <v>8</v>
      </c>
      <c r="F17" s="30">
        <v>0</v>
      </c>
      <c r="G17" s="33" t="s">
        <v>9</v>
      </c>
      <c r="H17" s="30">
        <v>10</v>
      </c>
      <c r="I17" s="33" t="s">
        <v>10</v>
      </c>
      <c r="J17" s="30">
        <v>21</v>
      </c>
      <c r="K17" s="33" t="s">
        <v>11</v>
      </c>
      <c r="L17" s="36" t="str">
        <f t="shared" si="0"/>
        <v>update `parenting_daily_news_first`  set `pushTitle` ="#baby#1岁后，喂养将有4个重要变化，提前了解，顺利过渡到自主吃饭",`updateTime`  = now() WHERE `dnId` =6164and `ageYear`  =0and `ageMonth`  =10and `ageDay`  =21;</v>
      </c>
    </row>
    <row r="18" ht="68.25" customHeight="1" spans="1:12">
      <c r="A18" s="33" t="s">
        <v>5</v>
      </c>
      <c r="B18" s="24" t="s">
        <v>27</v>
      </c>
      <c r="C18" s="33" t="s">
        <v>7</v>
      </c>
      <c r="D18" s="30">
        <v>6082</v>
      </c>
      <c r="E18" s="33" t="s">
        <v>8</v>
      </c>
      <c r="F18" s="30">
        <v>0</v>
      </c>
      <c r="G18" s="33" t="s">
        <v>9</v>
      </c>
      <c r="H18" s="30">
        <v>10</v>
      </c>
      <c r="I18" s="33" t="s">
        <v>10</v>
      </c>
      <c r="J18" s="30">
        <v>22</v>
      </c>
      <c r="K18" s="33" t="s">
        <v>11</v>
      </c>
      <c r="L18" s="36" t="str">
        <f t="shared" si="0"/>
        <v>update `parenting_daily_news_first`  set `pushTitle` ="几乎每个宝宝都不爱吃药💊，但提前了解这3个误区，能让喂药过程顺利很多",`updateTime`  = now() WHERE `dnId` =6082and `ageYear`  =0and `ageMonth`  =10and `ageDay`  =22;</v>
      </c>
    </row>
    <row r="19" ht="68.25" customHeight="1" spans="1:12">
      <c r="A19" s="33" t="s">
        <v>5</v>
      </c>
      <c r="B19" s="24" t="s">
        <v>28</v>
      </c>
      <c r="C19" s="33" t="s">
        <v>7</v>
      </c>
      <c r="D19" s="30">
        <v>4036</v>
      </c>
      <c r="E19" s="33" t="s">
        <v>8</v>
      </c>
      <c r="F19" s="30">
        <v>0</v>
      </c>
      <c r="G19" s="33" t="s">
        <v>9</v>
      </c>
      <c r="H19" s="30">
        <v>10</v>
      </c>
      <c r="I19" s="33" t="s">
        <v>10</v>
      </c>
      <c r="J19" s="30">
        <v>24</v>
      </c>
      <c r="K19" s="33" t="s">
        <v>11</v>
      </c>
      <c r="L19" s="36" t="str">
        <f t="shared" si="0"/>
        <v>update `parenting_daily_news_first`  set `pushTitle` ="你知道吗？3个月～5岁的宝宝发热抽搐，可能是“热性惊厥”，正确处理记住“三要五不要”",`updateTime`  = now() WHERE `dnId` =4036and `ageYear`  =0and `ageMonth`  =10and `ageDay`  =24;</v>
      </c>
    </row>
    <row r="20" ht="68.25" customHeight="1" spans="1:12">
      <c r="A20" s="33" t="s">
        <v>5</v>
      </c>
      <c r="B20" s="24" t="s">
        <v>29</v>
      </c>
      <c r="C20" s="33" t="s">
        <v>7</v>
      </c>
      <c r="D20" s="30">
        <v>5914</v>
      </c>
      <c r="E20" s="33" t="s">
        <v>8</v>
      </c>
      <c r="F20" s="30">
        <v>0</v>
      </c>
      <c r="G20" s="33" t="s">
        <v>9</v>
      </c>
      <c r="H20" s="30">
        <v>10</v>
      </c>
      <c r="I20" s="33" t="s">
        <v>10</v>
      </c>
      <c r="J20" s="30">
        <v>25</v>
      </c>
      <c r="K20" s="33" t="s">
        <v>11</v>
      </c>
      <c r="L20" s="36" t="str">
        <f t="shared" si="0"/>
        <v>update `parenting_daily_news_first`  set `pushTitle` ="给#baby#买食品时，“无糖”“营养强化”这些标签可能都是坑，看懂这2张表很重要",`updateTime`  = now() WHERE `dnId` =5914and `ageYear`  =0and `ageMonth`  =10and `ageDay`  =25;</v>
      </c>
    </row>
    <row r="21" ht="68.25" customHeight="1" spans="1:12">
      <c r="A21" s="33" t="s">
        <v>5</v>
      </c>
      <c r="B21" s="24" t="s">
        <v>30</v>
      </c>
      <c r="C21" s="33" t="s">
        <v>7</v>
      </c>
      <c r="D21" s="30">
        <v>6327</v>
      </c>
      <c r="E21" s="33" t="s">
        <v>8</v>
      </c>
      <c r="F21" s="30">
        <v>0</v>
      </c>
      <c r="G21" s="33" t="s">
        <v>9</v>
      </c>
      <c r="H21" s="30">
        <v>10</v>
      </c>
      <c r="I21" s="33" t="s">
        <v>10</v>
      </c>
      <c r="J21" s="30">
        <v>4</v>
      </c>
      <c r="K21" s="33" t="s">
        <v>11</v>
      </c>
      <c r="L21" s="36" t="str">
        <f t="shared" si="0"/>
        <v>update `parenting_daily_news_first`  set `pushTitle` ="不知道怎么陪#baby#玩？哈佛大学的“五步互动法”来了！每天几分钟，刺激大脑发育",`updateTime`  = now() WHERE `dnId` =6327and `ageYear`  =0and `ageMonth`  =10and `ageDay`  =4;</v>
      </c>
    </row>
    <row r="22" ht="68.25" customHeight="1" spans="1:12">
      <c r="A22" s="33" t="s">
        <v>5</v>
      </c>
      <c r="B22" s="24" t="s">
        <v>31</v>
      </c>
      <c r="C22" s="33" t="s">
        <v>7</v>
      </c>
      <c r="D22" s="30">
        <v>6408</v>
      </c>
      <c r="E22" s="33" t="s">
        <v>8</v>
      </c>
      <c r="F22" s="30">
        <v>0</v>
      </c>
      <c r="G22" s="33" t="s">
        <v>9</v>
      </c>
      <c r="H22" s="30">
        <v>10</v>
      </c>
      <c r="I22" s="33" t="s">
        <v>10</v>
      </c>
      <c r="J22" s="30">
        <v>6</v>
      </c>
      <c r="K22" s="33" t="s">
        <v>11</v>
      </c>
      <c r="L22" s="36" t="str">
        <f t="shared" si="0"/>
        <v>update `parenting_daily_news_first`  set `pushTitle` ="#baby#1岁后就能吃盐了，但糖、醋、料酒呢？记住这几个关键年龄和每日用量",`updateTime`  = now() WHERE `dnId` =6408and `ageYear`  =0and `ageMonth`  =10and `ageDay`  =6;</v>
      </c>
    </row>
    <row r="23" ht="54.75" customHeight="1" spans="1:12">
      <c r="A23" s="33" t="s">
        <v>5</v>
      </c>
      <c r="B23" s="24" t="s">
        <v>32</v>
      </c>
      <c r="C23" s="33" t="s">
        <v>7</v>
      </c>
      <c r="D23" s="30">
        <v>2563</v>
      </c>
      <c r="E23" s="33" t="s">
        <v>8</v>
      </c>
      <c r="F23" s="30">
        <v>0</v>
      </c>
      <c r="G23" s="33" t="s">
        <v>9</v>
      </c>
      <c r="H23" s="30">
        <v>11</v>
      </c>
      <c r="I23" s="33" t="s">
        <v>10</v>
      </c>
      <c r="J23" s="30">
        <v>13</v>
      </c>
      <c r="K23" s="33" t="s">
        <v>11</v>
      </c>
      <c r="L23" s="36" t="str">
        <f t="shared" si="0"/>
        <v>update `parenting_daily_news_first`  set `pushTitle` ="注意！这样牵手可能让宝宝胳膊“脱臼”，5岁以下尤其要当心",`updateTime`  = now() WHERE `dnId` =2563and `ageYear`  =0and `ageMonth`  =11and `ageDay`  =13;</v>
      </c>
    </row>
    <row r="24" ht="68.25" customHeight="1" spans="1:12">
      <c r="A24" s="33" t="s">
        <v>5</v>
      </c>
      <c r="B24" s="24" t="s">
        <v>33</v>
      </c>
      <c r="C24" s="33" t="s">
        <v>7</v>
      </c>
      <c r="D24" s="30">
        <v>5929</v>
      </c>
      <c r="E24" s="33" t="s">
        <v>8</v>
      </c>
      <c r="F24" s="30">
        <v>0</v>
      </c>
      <c r="G24" s="33" t="s">
        <v>9</v>
      </c>
      <c r="H24" s="30">
        <v>11</v>
      </c>
      <c r="I24" s="33" t="s">
        <v>10</v>
      </c>
      <c r="J24" s="30">
        <v>14</v>
      </c>
      <c r="K24" s="33" t="s">
        <v>11</v>
      </c>
      <c r="L24" s="36" t="str">
        <f t="shared" si="0"/>
        <v>update `parenting_daily_news_first`  set `pushTitle` ="宝宝正处牙齿🦷发育关键期，适当吃些较硬的食物，以后换牙不容易长“双排牙”",`updateTime`  = now() WHERE `dnId` =5929and `ageYear`  =0and `ageMonth`  =11and `ageDay`  =14;</v>
      </c>
    </row>
    <row r="25" ht="68.25" customHeight="1" spans="1:12">
      <c r="A25" s="33" t="s">
        <v>5</v>
      </c>
      <c r="B25" s="24" t="s">
        <v>34</v>
      </c>
      <c r="C25" s="33" t="s">
        <v>7</v>
      </c>
      <c r="D25" s="30">
        <v>2599</v>
      </c>
      <c r="E25" s="33" t="s">
        <v>8</v>
      </c>
      <c r="F25" s="30">
        <v>0</v>
      </c>
      <c r="G25" s="33" t="s">
        <v>9</v>
      </c>
      <c r="H25" s="30">
        <v>11</v>
      </c>
      <c r="I25" s="33" t="s">
        <v>10</v>
      </c>
      <c r="J25" s="30">
        <v>15</v>
      </c>
      <c r="K25" s="33" t="s">
        <v>11</v>
      </c>
      <c r="L25" s="36" t="str">
        <f t="shared" si="0"/>
        <v>update `parenting_daily_news_first`  set `pushTitle` ="给#baby#选学步鞋，别只看软硬，还要看鞋底厚度、鞋头材料、后踝硬度这3点",`updateTime`  = now() WHERE `dnId` =2599and `ageYear`  =0and `ageMonth`  =11and `ageDay`  =15;</v>
      </c>
    </row>
    <row r="26" ht="68.25" customHeight="1" spans="1:12">
      <c r="A26" s="33" t="s">
        <v>5</v>
      </c>
      <c r="B26" s="24" t="s">
        <v>35</v>
      </c>
      <c r="C26" s="33" t="s">
        <v>7</v>
      </c>
      <c r="D26" s="30">
        <v>5959</v>
      </c>
      <c r="E26" s="33" t="s">
        <v>8</v>
      </c>
      <c r="F26" s="30">
        <v>0</v>
      </c>
      <c r="G26" s="33" t="s">
        <v>9</v>
      </c>
      <c r="H26" s="30">
        <v>11</v>
      </c>
      <c r="I26" s="33" t="s">
        <v>10</v>
      </c>
      <c r="J26" s="30">
        <v>23</v>
      </c>
      <c r="K26" s="33" t="s">
        <v>11</v>
      </c>
      <c r="L26" s="36" t="str">
        <f t="shared" si="0"/>
        <v>update `parenting_daily_news_first`  set `pushTitle` ="孩子这不吃那不吃，不一定是不爱吃！对照这5个原因调整，吃饭更主动",`updateTime`  = now() WHERE `dnId` =5959and `ageYear`  =0and `ageMonth`  =11and `ageDay`  =23;</v>
      </c>
    </row>
    <row r="27" ht="81.75" customHeight="1" spans="1:12">
      <c r="A27" s="33" t="s">
        <v>5</v>
      </c>
      <c r="B27" s="24" t="s">
        <v>36</v>
      </c>
      <c r="C27" s="33" t="s">
        <v>7</v>
      </c>
      <c r="D27" s="30">
        <v>752</v>
      </c>
      <c r="E27" s="33" t="s">
        <v>8</v>
      </c>
      <c r="F27" s="30">
        <v>0</v>
      </c>
      <c r="G27" s="33" t="s">
        <v>9</v>
      </c>
      <c r="H27" s="30">
        <v>11</v>
      </c>
      <c r="I27" s="33" t="s">
        <v>10</v>
      </c>
      <c r="J27" s="30">
        <v>24</v>
      </c>
      <c r="K27" s="33" t="s">
        <v>11</v>
      </c>
      <c r="L27" s="36" t="str">
        <f t="shared" si="0"/>
        <v>update `parenting_daily_news_first`  set `pushTitle` ="1～1岁半是能力爆发期！每天和#baby#玩7个小游戏，轻松锻炼语言、动作、思维等能力",`updateTime`  = now() WHERE `dnId` =752and `ageYear`  =0and `ageMonth`  =11and `ageDay`  =24;</v>
      </c>
    </row>
    <row r="28" ht="68.25" customHeight="1" spans="1:12">
      <c r="A28" s="33" t="s">
        <v>5</v>
      </c>
      <c r="B28" s="24" t="s">
        <v>37</v>
      </c>
      <c r="C28" s="33" t="s">
        <v>7</v>
      </c>
      <c r="D28" s="30">
        <v>4020</v>
      </c>
      <c r="E28" s="33" t="s">
        <v>8</v>
      </c>
      <c r="F28" s="30">
        <v>0</v>
      </c>
      <c r="G28" s="33" t="s">
        <v>9</v>
      </c>
      <c r="H28" s="30">
        <v>11</v>
      </c>
      <c r="I28" s="33" t="s">
        <v>10</v>
      </c>
      <c r="J28" s="30">
        <v>25</v>
      </c>
      <c r="K28" s="33" t="s">
        <v>11</v>
      </c>
      <c r="L28" s="36" t="str">
        <f t="shared" si="0"/>
        <v>update `parenting_daily_news_first`  set `pushTitle` ="#baby#快1周岁了，水痘疫苗可以安排了！第一剂什么时候打、要打几针？一文说清",`updateTime`  = now() WHERE `dnId` =4020and `ageYear`  =0and `ageMonth`  =11and `ageDay`  =25;</v>
      </c>
    </row>
    <row r="29" ht="68.25" customHeight="1" spans="1:12">
      <c r="A29" s="33" t="s">
        <v>5</v>
      </c>
      <c r="B29" s="24" t="s">
        <v>38</v>
      </c>
      <c r="C29" s="33" t="s">
        <v>7</v>
      </c>
      <c r="D29" s="30">
        <v>2266</v>
      </c>
      <c r="E29" s="33" t="s">
        <v>8</v>
      </c>
      <c r="F29" s="30">
        <v>0</v>
      </c>
      <c r="G29" s="33" t="s">
        <v>9</v>
      </c>
      <c r="H29" s="30">
        <v>11</v>
      </c>
      <c r="I29" s="33" t="s">
        <v>10</v>
      </c>
      <c r="J29" s="30">
        <v>6</v>
      </c>
      <c r="K29" s="33" t="s">
        <v>11</v>
      </c>
      <c r="L29" s="36" t="str">
        <f t="shared" si="0"/>
        <v>update `parenting_daily_news_first`  set `pushTitle` ="宝宝突然爱尖叫？不一定是调皮，可能是这些原因，4招让#ta#快速安静下来",`updateTime`  = now() WHERE `dnId` =2266and `ageYear`  =0and `ageMonth`  =11and `ageDay`  =6;</v>
      </c>
    </row>
    <row r="30" ht="41.25" customHeight="1" spans="1:12">
      <c r="A30" s="33" t="s">
        <v>5</v>
      </c>
      <c r="B30" s="24" t="s">
        <v>39</v>
      </c>
      <c r="C30" s="33" t="s">
        <v>7</v>
      </c>
      <c r="D30" s="30">
        <v>202</v>
      </c>
      <c r="E30" s="33" t="s">
        <v>8</v>
      </c>
      <c r="F30" s="30">
        <v>0</v>
      </c>
      <c r="G30" s="33" t="s">
        <v>9</v>
      </c>
      <c r="H30" s="30">
        <v>11</v>
      </c>
      <c r="I30" s="33" t="s">
        <v>10</v>
      </c>
      <c r="J30" s="30">
        <v>8</v>
      </c>
      <c r="K30" s="33" t="s">
        <v>11</v>
      </c>
      <c r="L30" s="36" t="str">
        <f t="shared" si="0"/>
        <v>update `parenting_daily_news_first`  set `pushTitle` ="“开发大脑”能让孩子变聪明吗？来看看科学研究怎么说",`updateTime`  = now() WHERE `dnId` =202and `ageYear`  =0and `ageMonth`  =11and `ageDay`  =8;</v>
      </c>
    </row>
    <row r="31" ht="68.25" customHeight="1" spans="1:12">
      <c r="A31" s="33" t="s">
        <v>5</v>
      </c>
      <c r="B31" s="24" t="s">
        <v>40</v>
      </c>
      <c r="C31" s="33" t="s">
        <v>7</v>
      </c>
      <c r="D31" s="30">
        <v>6058</v>
      </c>
      <c r="E31" s="33" t="s">
        <v>8</v>
      </c>
      <c r="F31" s="30">
        <v>0</v>
      </c>
      <c r="G31" s="33" t="s">
        <v>9</v>
      </c>
      <c r="H31" s="30">
        <v>11</v>
      </c>
      <c r="I31" s="33" t="s">
        <v>10</v>
      </c>
      <c r="J31" s="30">
        <v>9</v>
      </c>
      <c r="K31" s="33" t="s">
        <v>11</v>
      </c>
      <c r="L31" s="36" t="str">
        <f t="shared" si="0"/>
        <v>update `parenting_daily_news_first`  set `pushTitle` ="宝宝总爱摸私处？与其反复说“不可以”，不如先排查这3点，帮#ta#顺利度过好奇期",`updateTime`  = now() WHERE `dnId` =6058and `ageYear`  =0and `ageMonth`  =11and `ageDay`  =9;</v>
      </c>
    </row>
    <row r="32" ht="54.75" customHeight="1" spans="1:12">
      <c r="A32" s="33" t="s">
        <v>5</v>
      </c>
      <c r="B32" s="24" t="s">
        <v>41</v>
      </c>
      <c r="C32" s="33" t="s">
        <v>7</v>
      </c>
      <c r="D32" s="30">
        <v>2482</v>
      </c>
      <c r="E32" s="33" t="s">
        <v>8</v>
      </c>
      <c r="F32" s="30">
        <v>0</v>
      </c>
      <c r="G32" s="33" t="s">
        <v>9</v>
      </c>
      <c r="H32" s="30">
        <v>1</v>
      </c>
      <c r="I32" s="33" t="s">
        <v>10</v>
      </c>
      <c r="J32" s="30">
        <v>11</v>
      </c>
      <c r="K32" s="33" t="s">
        <v>11</v>
      </c>
      <c r="L32" s="36" t="str">
        <f t="shared" si="0"/>
        <v>update `parenting_daily_news_first`  set `pushTitle` ="宝宝哭闹难安抚？试试这个小物件，能帮宝宝学会自我安抚，减少哭闹",`updateTime`  = now() WHERE `dnId` =2482and `ageYear`  =0and `ageMonth`  =1and `ageDay`  =11;</v>
      </c>
    </row>
    <row r="33" ht="68.25" customHeight="1" spans="1:12">
      <c r="A33" s="33" t="s">
        <v>5</v>
      </c>
      <c r="B33" s="24" t="s">
        <v>42</v>
      </c>
      <c r="C33" s="33" t="s">
        <v>7</v>
      </c>
      <c r="D33" s="30">
        <v>215</v>
      </c>
      <c r="E33" s="33" t="s">
        <v>8</v>
      </c>
      <c r="F33" s="30">
        <v>0</v>
      </c>
      <c r="G33" s="33" t="s">
        <v>9</v>
      </c>
      <c r="H33" s="30">
        <v>1</v>
      </c>
      <c r="I33" s="33" t="s">
        <v>10</v>
      </c>
      <c r="J33" s="30">
        <v>15</v>
      </c>
      <c r="K33" s="33" t="s">
        <v>11</v>
      </c>
      <c r="L33" s="36" t="str">
        <f t="shared" si="0"/>
        <v>update `parenting_daily_news_first`  set `pushTitle` ="每天趴2～3次，#baby#头型好、抬头早，这3个要点和正确姿势视频快收好",`updateTime`  = now() WHERE `dnId` =215and `ageYear`  =0and `ageMonth`  =1and `ageDay`  =15;</v>
      </c>
    </row>
    <row r="34" ht="68.25" customHeight="1" spans="1:12">
      <c r="A34" s="33" t="s">
        <v>5</v>
      </c>
      <c r="B34" s="24" t="s">
        <v>43</v>
      </c>
      <c r="C34" s="33" t="s">
        <v>7</v>
      </c>
      <c r="D34" s="30">
        <v>2530</v>
      </c>
      <c r="E34" s="33" t="s">
        <v>8</v>
      </c>
      <c r="F34" s="30">
        <v>0</v>
      </c>
      <c r="G34" s="33" t="s">
        <v>9</v>
      </c>
      <c r="H34" s="30">
        <v>1</v>
      </c>
      <c r="I34" s="33" t="s">
        <v>10</v>
      </c>
      <c r="J34" s="30">
        <v>16</v>
      </c>
      <c r="K34" s="33" t="s">
        <v>11</v>
      </c>
      <c r="L34" s="36" t="str">
        <f t="shared" si="0"/>
        <v>update `parenting_daily_news_first`  set `pushTitle` ="宝宝一哭就喂奶？先别急，教你听懂10种哭声，准确辨别宝宝是饿了、困了，还是不舒服",`updateTime`  = now() WHERE `dnId` =2530and `ageYear`  =0and `ageMonth`  =1and `ageDay`  =16;</v>
      </c>
    </row>
    <row r="35" ht="68.25" customHeight="1" spans="1:12">
      <c r="A35" s="33" t="s">
        <v>5</v>
      </c>
      <c r="B35" s="24" t="s">
        <v>44</v>
      </c>
      <c r="C35" s="33" t="s">
        <v>7</v>
      </c>
      <c r="D35" s="30">
        <v>2306</v>
      </c>
      <c r="E35" s="33" t="s">
        <v>8</v>
      </c>
      <c r="F35" s="30">
        <v>0</v>
      </c>
      <c r="G35" s="33" t="s">
        <v>9</v>
      </c>
      <c r="H35" s="30">
        <v>1</v>
      </c>
      <c r="I35" s="33" t="s">
        <v>10</v>
      </c>
      <c r="J35" s="30">
        <v>19</v>
      </c>
      <c r="K35" s="33" t="s">
        <v>11</v>
      </c>
      <c r="L35" s="36" t="str">
        <f t="shared" si="0"/>
        <v>update `parenting_daily_news_first`  set `pushTitle` ="#baby#满2个月就能打五联疫苗了，能将12针减少到4针，接种注意事项都在这里",`updateTime`  = now() WHERE `dnId` =2306and `ageYear`  =0and `ageMonth`  =1and `ageDay`  =19;</v>
      </c>
    </row>
    <row r="36" ht="68.25" customHeight="1" spans="1:12">
      <c r="A36" s="33" t="s">
        <v>5</v>
      </c>
      <c r="B36" s="24" t="s">
        <v>45</v>
      </c>
      <c r="C36" s="33" t="s">
        <v>7</v>
      </c>
      <c r="D36" s="30">
        <v>4557</v>
      </c>
      <c r="E36" s="33" t="s">
        <v>8</v>
      </c>
      <c r="F36" s="30">
        <v>0</v>
      </c>
      <c r="G36" s="33" t="s">
        <v>9</v>
      </c>
      <c r="H36" s="30">
        <v>1</v>
      </c>
      <c r="I36" s="33" t="s">
        <v>10</v>
      </c>
      <c r="J36" s="30">
        <v>1</v>
      </c>
      <c r="K36" s="33" t="s">
        <v>11</v>
      </c>
      <c r="L36" s="36" t="str">
        <f t="shared" si="0"/>
        <v>update `parenting_daily_news_first`  set `pushTitle` ="宝宝吃奶后哭个不停？不一定是没吃饱，可能是“肠胀气”，2个方法就能缓解",`updateTime`  = now() WHERE `dnId` =4557and `ageYear`  =0and `ageMonth`  =1and `ageDay`  =1;</v>
      </c>
    </row>
    <row r="37" ht="68.25" customHeight="1" spans="1:12">
      <c r="A37" s="33" t="s">
        <v>5</v>
      </c>
      <c r="B37" s="24" t="s">
        <v>46</v>
      </c>
      <c r="C37" s="33" t="s">
        <v>7</v>
      </c>
      <c r="D37" s="30">
        <v>246</v>
      </c>
      <c r="E37" s="33" t="s">
        <v>8</v>
      </c>
      <c r="F37" s="30">
        <v>0</v>
      </c>
      <c r="G37" s="33" t="s">
        <v>9</v>
      </c>
      <c r="H37" s="30">
        <v>1</v>
      </c>
      <c r="I37" s="33" t="s">
        <v>10</v>
      </c>
      <c r="J37" s="30">
        <v>22</v>
      </c>
      <c r="K37" s="33" t="s">
        <v>11</v>
      </c>
      <c r="L37" s="36" t="str">
        <f t="shared" si="0"/>
        <v>update `parenting_daily_news_first`  set `pushTitle` ="宝宝好几天不拉便便，是便秘还是攒肚？对照这篇文章自查，1分钟就能判断",`updateTime`  = now() WHERE `dnId` =246and `ageYear`  =0and `ageMonth`  =1and `ageDay`  =22;</v>
      </c>
    </row>
    <row r="38" ht="68.25" customHeight="1" spans="1:12">
      <c r="A38" s="33" t="s">
        <v>5</v>
      </c>
      <c r="B38" s="24" t="s">
        <v>47</v>
      </c>
      <c r="C38" s="33" t="s">
        <v>7</v>
      </c>
      <c r="D38" s="30">
        <v>6264</v>
      </c>
      <c r="E38" s="33" t="s">
        <v>8</v>
      </c>
      <c r="F38" s="30">
        <v>0</v>
      </c>
      <c r="G38" s="33" t="s">
        <v>9</v>
      </c>
      <c r="H38" s="30">
        <v>1</v>
      </c>
      <c r="I38" s="33" t="s">
        <v>10</v>
      </c>
      <c r="J38" s="30">
        <v>25</v>
      </c>
      <c r="K38" s="33" t="s">
        <v>11</v>
      </c>
      <c r="L38" s="36" t="str">
        <f t="shared" si="0"/>
        <v>update `parenting_daily_news_first`  set `pushTitle` ="产后肚子大？不一定是胖，很可能是腹直肌分离！3步在家自测，判断是否要修复",`updateTime`  = now() WHERE `dnId` =6264and `ageYear`  =0and `ageMonth`  =1and `ageDay`  =25;</v>
      </c>
    </row>
    <row r="39" ht="54.75" customHeight="1" spans="1:12">
      <c r="A39" s="33" t="s">
        <v>5</v>
      </c>
      <c r="B39" s="24" t="s">
        <v>48</v>
      </c>
      <c r="C39" s="33" t="s">
        <v>7</v>
      </c>
      <c r="D39" s="30">
        <v>1114</v>
      </c>
      <c r="E39" s="33" t="s">
        <v>8</v>
      </c>
      <c r="F39" s="30">
        <v>0</v>
      </c>
      <c r="G39" s="33" t="s">
        <v>9</v>
      </c>
      <c r="H39" s="30">
        <v>1</v>
      </c>
      <c r="I39" s="33" t="s">
        <v>10</v>
      </c>
      <c r="J39" s="30">
        <v>26</v>
      </c>
      <c r="K39" s="33" t="s">
        <v>11</v>
      </c>
      <c r="L39" s="36" t="str">
        <f t="shared" si="0"/>
        <v>update `parenting_daily_news_first`  set `pushTitle` ="宝宝总爱吃小手睡觉，到底要不要管？关键看这一个标准",`updateTime`  = now() WHERE `dnId` =1114and `ageYear`  =0and `ageMonth`  =1and `ageDay`  =26;</v>
      </c>
    </row>
    <row r="40" ht="68.25" customHeight="1" spans="1:12">
      <c r="A40" s="33" t="s">
        <v>5</v>
      </c>
      <c r="B40" s="24" t="s">
        <v>49</v>
      </c>
      <c r="C40" s="33" t="s">
        <v>7</v>
      </c>
      <c r="D40" s="30">
        <v>52</v>
      </c>
      <c r="E40" s="33" t="s">
        <v>8</v>
      </c>
      <c r="F40" s="30">
        <v>0</v>
      </c>
      <c r="G40" s="33" t="s">
        <v>9</v>
      </c>
      <c r="H40" s="30">
        <v>1</v>
      </c>
      <c r="I40" s="33" t="s">
        <v>10</v>
      </c>
      <c r="J40" s="30">
        <v>27</v>
      </c>
      <c r="K40" s="33" t="s">
        <v>11</v>
      </c>
      <c r="L40" s="36" t="str">
        <f t="shared" si="0"/>
        <v>update `parenting_daily_news_first`  set `pushTitle` ="安抚奶嘴用对了是哄娃神器，用错了可能影响牙齿和睡眠，记住“421”原则是关键",`updateTime`  = now() WHERE `dnId` =52and `ageYear`  =0and `ageMonth`  =1and `ageDay`  =27;</v>
      </c>
    </row>
    <row r="41" ht="54.75" customHeight="1" spans="1:12">
      <c r="A41" s="33" t="s">
        <v>5</v>
      </c>
      <c r="B41" s="38" t="s">
        <v>50</v>
      </c>
      <c r="C41" s="33" t="s">
        <v>7</v>
      </c>
      <c r="D41" s="30">
        <v>2603</v>
      </c>
      <c r="E41" s="33" t="s">
        <v>8</v>
      </c>
      <c r="F41" s="30">
        <v>0</v>
      </c>
      <c r="G41" s="33" t="s">
        <v>9</v>
      </c>
      <c r="H41" s="30">
        <v>1</v>
      </c>
      <c r="I41" s="33" t="s">
        <v>10</v>
      </c>
      <c r="J41" s="30">
        <v>29</v>
      </c>
      <c r="K41" s="33" t="s">
        <v>11</v>
      </c>
      <c r="L41" s="36" t="str">
        <f t="shared" si="0"/>
        <v>update `parenting_daily_news_first`  set `pushTitle` ="除了横抱和竖抱，一两个月的宝宝还能怎么抱？快来解锁各种抱娃姿势",`updateTime`  = now() WHERE `dnId` =2603and `ageYear`  =0and `ageMonth`  =1and `ageDay`  =29;</v>
      </c>
    </row>
    <row r="42" ht="68.25" customHeight="1" spans="1:12">
      <c r="A42" s="33" t="s">
        <v>5</v>
      </c>
      <c r="B42" s="38" t="s">
        <v>51</v>
      </c>
      <c r="C42" s="33" t="s">
        <v>7</v>
      </c>
      <c r="D42" s="30">
        <v>12</v>
      </c>
      <c r="E42" s="33" t="s">
        <v>8</v>
      </c>
      <c r="F42" s="30">
        <v>0</v>
      </c>
      <c r="G42" s="33" t="s">
        <v>9</v>
      </c>
      <c r="H42" s="30">
        <v>1</v>
      </c>
      <c r="I42" s="33" t="s">
        <v>10</v>
      </c>
      <c r="J42" s="30">
        <v>3</v>
      </c>
      <c r="K42" s="33" t="s">
        <v>11</v>
      </c>
      <c r="L42" s="36" t="str">
        <f t="shared" si="0"/>
        <v>update `parenting_daily_news_first`  set `pushTitle` ="每天几分钟被动操，#baby#发育好、睡得香，快跟着视频学习正确手法",`updateTime`  = now() WHERE `dnId` =12and `ageYear`  =0and `ageMonth`  =1and `ageDay`  =3;</v>
      </c>
    </row>
    <row r="43" ht="68.25" customHeight="1" spans="1:12">
      <c r="A43" s="33" t="s">
        <v>5</v>
      </c>
      <c r="B43" s="38" t="s">
        <v>52</v>
      </c>
      <c r="C43" s="33" t="s">
        <v>7</v>
      </c>
      <c r="D43" s="30">
        <v>4257</v>
      </c>
      <c r="E43" s="33" t="s">
        <v>8</v>
      </c>
      <c r="F43" s="30">
        <v>0</v>
      </c>
      <c r="G43" s="33" t="s">
        <v>9</v>
      </c>
      <c r="H43" s="30">
        <v>1</v>
      </c>
      <c r="I43" s="33" t="s">
        <v>10</v>
      </c>
      <c r="J43" s="30">
        <v>5</v>
      </c>
      <c r="K43" s="33" t="s">
        <v>11</v>
      </c>
      <c r="L43" s="36" t="str">
        <f t="shared" si="0"/>
        <v>update `parenting_daily_news_first`  set `pushTitle` ="这样抱娃，手腕容易得“腱鞘炎”！改掉一个错误姿势，教你正确省力的抱法",`updateTime`  = now() WHERE `dnId` =4257and `ageYear`  =0and `ageMonth`  =1and `ageDay`  =5;</v>
      </c>
    </row>
    <row r="44" ht="68.25" customHeight="1" spans="1:12">
      <c r="A44" s="33" t="s">
        <v>5</v>
      </c>
      <c r="B44" s="38" t="s">
        <v>53</v>
      </c>
      <c r="C44" s="33" t="s">
        <v>7</v>
      </c>
      <c r="D44" s="30">
        <v>2759</v>
      </c>
      <c r="E44" s="33" t="s">
        <v>8</v>
      </c>
      <c r="F44" s="30">
        <v>0</v>
      </c>
      <c r="G44" s="33" t="s">
        <v>9</v>
      </c>
      <c r="H44" s="30">
        <v>2</v>
      </c>
      <c r="I44" s="33" t="s">
        <v>10</v>
      </c>
      <c r="J44" s="30">
        <v>11</v>
      </c>
      <c r="K44" s="33" t="s">
        <v>11</v>
      </c>
      <c r="L44" s="36" t="str">
        <f t="shared" si="0"/>
        <v>update `parenting_daily_news_first`  set `pushTitle` ="2个月的宝宝每天应该睡多久？不同月龄睡眠时长建议来了，看看#baby#睡得够不够",`updateTime`  = now() WHERE `dnId` =2759and `ageYear`  =0and `ageMonth`  =2and `ageDay`  =11;</v>
      </c>
    </row>
    <row r="45" ht="68.25" customHeight="1" spans="1:12">
      <c r="A45" s="33" t="s">
        <v>5</v>
      </c>
      <c r="B45" s="38" t="s">
        <v>54</v>
      </c>
      <c r="C45" s="33" t="s">
        <v>7</v>
      </c>
      <c r="D45" s="30">
        <v>6186</v>
      </c>
      <c r="E45" s="33" t="s">
        <v>8</v>
      </c>
      <c r="F45" s="30">
        <v>0</v>
      </c>
      <c r="G45" s="33" t="s">
        <v>9</v>
      </c>
      <c r="H45" s="30">
        <v>2</v>
      </c>
      <c r="I45" s="33" t="s">
        <v>10</v>
      </c>
      <c r="J45" s="30">
        <v>15</v>
      </c>
      <c r="K45" s="33" t="s">
        <v>11</v>
      </c>
      <c r="L45" s="36" t="str">
        <f t="shared" si="0"/>
        <v>update `parenting_daily_news_first`  set `pushTitle` ="很多宝宝睡觉时会突然抖一下，这是“惊跳反射”，这样做能让#ta#睡得更安稳",`updateTime`  = now() WHERE `dnId` =6186and `ageYear`  =0and `ageMonth`  =2and `ageDay`  =15;</v>
      </c>
    </row>
    <row r="46" ht="54.75" customHeight="1" spans="1:12">
      <c r="A46" s="33" t="s">
        <v>5</v>
      </c>
      <c r="B46" s="38" t="s">
        <v>55</v>
      </c>
      <c r="C46" s="33" t="s">
        <v>7</v>
      </c>
      <c r="D46" s="30">
        <v>1166</v>
      </c>
      <c r="E46" s="33" t="s">
        <v>8</v>
      </c>
      <c r="F46" s="30">
        <v>0</v>
      </c>
      <c r="G46" s="33" t="s">
        <v>9</v>
      </c>
      <c r="H46" s="30">
        <v>2</v>
      </c>
      <c r="I46" s="33" t="s">
        <v>10</v>
      </c>
      <c r="J46" s="30">
        <v>16</v>
      </c>
      <c r="K46" s="33" t="s">
        <v>11</v>
      </c>
      <c r="L46" s="36" t="str">
        <f t="shared" si="0"/>
        <v>update `parenting_daily_news_first`  set `pushTitle` ="母乳不够别担心，掌握2种科学混合喂养方法，宝宝营养跟得上",`updateTime`  = now() WHERE `dnId` =1166and `ageYear`  =0and `ageMonth`  =2and `ageDay`  =16;</v>
      </c>
    </row>
    <row r="47" ht="54.75" customHeight="1" spans="1:12">
      <c r="A47" s="33" t="s">
        <v>5</v>
      </c>
      <c r="B47" s="38" t="s">
        <v>56</v>
      </c>
      <c r="C47" s="33" t="s">
        <v>7</v>
      </c>
      <c r="D47" s="30">
        <v>4071</v>
      </c>
      <c r="E47" s="33" t="s">
        <v>8</v>
      </c>
      <c r="F47" s="30">
        <v>0</v>
      </c>
      <c r="G47" s="33" t="s">
        <v>9</v>
      </c>
      <c r="H47" s="30">
        <v>2</v>
      </c>
      <c r="I47" s="33" t="s">
        <v>10</v>
      </c>
      <c r="J47" s="30">
        <v>18</v>
      </c>
      <c r="K47" s="33" t="s">
        <v>11</v>
      </c>
      <c r="L47" s="36" t="str">
        <f t="shared" si="0"/>
        <v>update `parenting_daily_news_first`  set `pushTitle` ="产后疯狂掉头发？别怕，这是激素恢复的正常现象，4招帮你平稳度过",`updateTime`  = now() WHERE `dnId` =4071and `ageYear`  =0and `ageMonth`  =2and `ageDay`  =18;</v>
      </c>
    </row>
    <row r="48" ht="68.25" customHeight="1" spans="1:12">
      <c r="A48" s="33" t="s">
        <v>5</v>
      </c>
      <c r="B48" s="38" t="s">
        <v>57</v>
      </c>
      <c r="C48" s="33" t="s">
        <v>7</v>
      </c>
      <c r="D48" s="30">
        <v>4248</v>
      </c>
      <c r="E48" s="33" t="s">
        <v>8</v>
      </c>
      <c r="F48" s="30">
        <v>0</v>
      </c>
      <c r="G48" s="33" t="s">
        <v>9</v>
      </c>
      <c r="H48" s="30">
        <v>2</v>
      </c>
      <c r="I48" s="33" t="s">
        <v>10</v>
      </c>
      <c r="J48" s="30">
        <v>19</v>
      </c>
      <c r="K48" s="33" t="s">
        <v>11</v>
      </c>
      <c r="L48" s="36" t="str">
        <f t="shared" si="0"/>
        <v>update `parenting_daily_news_first`  set `pushTitle` ="产后肚子瘦不下去？盲目锻炼可能加重腹直肌分离，找对原因才能科学恢复",`updateTime`  = now() WHERE `dnId` =4248and `ageYear`  =0and `ageMonth`  =2and `ageDay`  =19;</v>
      </c>
    </row>
    <row r="49" ht="81.75" customHeight="1" spans="1:12">
      <c r="A49" s="33" t="s">
        <v>5</v>
      </c>
      <c r="B49" s="24" t="s">
        <v>58</v>
      </c>
      <c r="C49" s="33" t="s">
        <v>7</v>
      </c>
      <c r="D49" s="30">
        <v>19</v>
      </c>
      <c r="E49" s="33" t="s">
        <v>8</v>
      </c>
      <c r="F49" s="30">
        <v>0</v>
      </c>
      <c r="G49" s="33" t="s">
        <v>9</v>
      </c>
      <c r="H49" s="30">
        <v>2</v>
      </c>
      <c r="I49" s="33" t="s">
        <v>10</v>
      </c>
      <c r="J49" s="30">
        <v>1</v>
      </c>
      <c r="K49" s="33" t="s">
        <v>11</v>
      </c>
      <c r="L49" s="36" t="str">
        <f t="shared" si="0"/>
        <v>update `parenting_daily_news_first`  set `pushTitle` ="#baby#会吃手吗？有人说“吃手更聪明不用管”，也有人说“会上瘾必须戒”，到底该听谁的？",`updateTime`  = now() WHERE `dnId` =19and `ageYear`  =0and `ageMonth`  =2and `ageDay`  =1;</v>
      </c>
    </row>
    <row r="50" ht="68.25" customHeight="1" spans="1:12">
      <c r="A50" s="33" t="s">
        <v>5</v>
      </c>
      <c r="B50" s="24" t="s">
        <v>59</v>
      </c>
      <c r="C50" s="33" t="s">
        <v>7</v>
      </c>
      <c r="D50" s="30">
        <v>24</v>
      </c>
      <c r="E50" s="33" t="s">
        <v>8</v>
      </c>
      <c r="F50" s="30">
        <v>0</v>
      </c>
      <c r="G50" s="33" t="s">
        <v>9</v>
      </c>
      <c r="H50" s="30">
        <v>2</v>
      </c>
      <c r="I50" s="33" t="s">
        <v>10</v>
      </c>
      <c r="J50" s="30">
        <v>26</v>
      </c>
      <c r="K50" s="33" t="s">
        <v>11</v>
      </c>
      <c r="L50" s="36" t="str">
        <f t="shared" si="0"/>
        <v>update `parenting_daily_news_first`  set `pushTitle` ="宝宝耳屎多，到底该不该掏？其实大多数情况不用管，只有这几种表现要注意",`updateTime`  = now() WHERE `dnId` =24and `ageYear`  =0and `ageMonth`  =2and `ageDay`  =26;</v>
      </c>
    </row>
    <row r="51" ht="81.75" customHeight="1" spans="1:12">
      <c r="A51" s="33" t="s">
        <v>5</v>
      </c>
      <c r="B51" s="24" t="s">
        <v>60</v>
      </c>
      <c r="C51" s="33" t="s">
        <v>7</v>
      </c>
      <c r="D51" s="30">
        <v>2390</v>
      </c>
      <c r="E51" s="33" t="s">
        <v>8</v>
      </c>
      <c r="F51" s="30">
        <v>0</v>
      </c>
      <c r="G51" s="33" t="s">
        <v>9</v>
      </c>
      <c r="H51" s="30">
        <v>2</v>
      </c>
      <c r="I51" s="33" t="s">
        <v>10</v>
      </c>
      <c r="J51" s="30">
        <v>2</v>
      </c>
      <c r="K51" s="33" t="s">
        <v>11</v>
      </c>
      <c r="L51" s="36" t="str">
        <f t="shared" si="0"/>
        <v>update `parenting_daily_news_first`  set `pushTitle` ="宝宝抬头练得对，大运动发展快一步！2个月适用的小游戏，每天玩2～3分钟，抬头更稳当",`updateTime`  = now() WHERE `dnId` =2390and `ageYear`  =0and `ageMonth`  =2and `ageDay`  =2;</v>
      </c>
    </row>
    <row r="52" ht="68.25" customHeight="1" spans="1:12">
      <c r="A52" s="33" t="s">
        <v>5</v>
      </c>
      <c r="B52" s="24" t="s">
        <v>61</v>
      </c>
      <c r="C52" s="33" t="s">
        <v>7</v>
      </c>
      <c r="D52" s="30">
        <v>466</v>
      </c>
      <c r="E52" s="33" t="s">
        <v>8</v>
      </c>
      <c r="F52" s="30">
        <v>0</v>
      </c>
      <c r="G52" s="33" t="s">
        <v>9</v>
      </c>
      <c r="H52" s="30">
        <v>2</v>
      </c>
      <c r="I52" s="33" t="s">
        <v>10</v>
      </c>
      <c r="J52" s="30">
        <v>9</v>
      </c>
      <c r="K52" s="33" t="s">
        <v>11</v>
      </c>
      <c r="L52" s="36" t="str">
        <f t="shared" si="0"/>
        <v>update `parenting_daily_news_first`  set `pushTitle` ="不知道和#baby#玩什么？10个零难度亲子游戏，轻松刺激视觉、听觉和大动作发育",`updateTime`  = now() WHERE `dnId` =466and `ageYear`  =0and `ageMonth`  =2and `ageDay`  =9;</v>
      </c>
    </row>
    <row r="53" ht="68.25" customHeight="1" spans="1:12">
      <c r="A53" s="33" t="s">
        <v>5</v>
      </c>
      <c r="B53" s="24" t="s">
        <v>62</v>
      </c>
      <c r="C53" s="33" t="s">
        <v>7</v>
      </c>
      <c r="D53" s="30">
        <v>4564</v>
      </c>
      <c r="E53" s="33" t="s">
        <v>8</v>
      </c>
      <c r="F53" s="30">
        <v>0</v>
      </c>
      <c r="G53" s="33" t="s">
        <v>9</v>
      </c>
      <c r="H53" s="30">
        <v>3</v>
      </c>
      <c r="I53" s="33" t="s">
        <v>10</v>
      </c>
      <c r="J53" s="30">
        <v>15</v>
      </c>
      <c r="K53" s="33" t="s">
        <v>11</v>
      </c>
      <c r="L53" s="36" t="str">
        <f t="shared" si="0"/>
        <v>update `parenting_daily_news_first`  set `pushTitle` ="哺乳期≠啥都不能做！护肤、美甲、运动其实都可以，但这2件事必须禁止",`updateTime`  = now() WHERE `dnId` =4564and `ageYear`  =0and `ageMonth`  =3and `ageDay`  =15;</v>
      </c>
    </row>
    <row r="54" ht="68.25" customHeight="1" spans="1:12">
      <c r="A54" s="33" t="s">
        <v>5</v>
      </c>
      <c r="B54" s="24" t="s">
        <v>63</v>
      </c>
      <c r="C54" s="33" t="s">
        <v>7</v>
      </c>
      <c r="D54" s="30">
        <v>6023</v>
      </c>
      <c r="E54" s="33" t="s">
        <v>8</v>
      </c>
      <c r="F54" s="30">
        <v>0</v>
      </c>
      <c r="G54" s="33" t="s">
        <v>9</v>
      </c>
      <c r="H54" s="30">
        <v>3</v>
      </c>
      <c r="I54" s="33" t="s">
        <v>10</v>
      </c>
      <c r="J54" s="30">
        <v>16</v>
      </c>
      <c r="K54" s="33" t="s">
        <v>11</v>
      </c>
      <c r="L54" s="36" t="str">
        <f t="shared" si="0"/>
        <v>update `parenting_daily_news_first`  set `pushTitle` ="如果宝宝意外坠床，在抱起安抚前，一定要多花几秒确认3件事，避免二次伤害",`updateTime`  = now() WHERE `dnId` =6023and `ageYear`  =0and `ageMonth`  =3and `ageDay`  =16;</v>
      </c>
    </row>
    <row r="55" ht="54.75" customHeight="1" spans="1:12">
      <c r="A55" s="33" t="s">
        <v>5</v>
      </c>
      <c r="B55" s="24" t="s">
        <v>64</v>
      </c>
      <c r="C55" s="33" t="s">
        <v>7</v>
      </c>
      <c r="D55" s="30">
        <v>2701</v>
      </c>
      <c r="E55" s="33" t="s">
        <v>8</v>
      </c>
      <c r="F55" s="30">
        <v>0</v>
      </c>
      <c r="G55" s="33" t="s">
        <v>9</v>
      </c>
      <c r="H55" s="30">
        <v>3</v>
      </c>
      <c r="I55" s="33" t="s">
        <v>10</v>
      </c>
      <c r="J55" s="30">
        <v>1</v>
      </c>
      <c r="K55" s="33" t="s">
        <v>11</v>
      </c>
      <c r="L55" s="36" t="str">
        <f t="shared" si="0"/>
        <v>update `parenting_daily_news_first`  set `pushTitle` ="宝宝红屁屁，勤换纸尿裤还不够！做好这2件事，才能好得快、不反复",`updateTime`  = now() WHERE `dnId` =2701and `ageYear`  =0and `ageMonth`  =3and `ageDay`  =1;</v>
      </c>
    </row>
    <row r="56" ht="68.25" customHeight="1" spans="1:12">
      <c r="A56" s="33" t="s">
        <v>5</v>
      </c>
      <c r="B56" s="24" t="s">
        <v>65</v>
      </c>
      <c r="C56" s="33" t="s">
        <v>7</v>
      </c>
      <c r="D56" s="30">
        <v>1157</v>
      </c>
      <c r="E56" s="33" t="s">
        <v>8</v>
      </c>
      <c r="F56" s="30">
        <v>0</v>
      </c>
      <c r="G56" s="33" t="s">
        <v>9</v>
      </c>
      <c r="H56" s="30">
        <v>3</v>
      </c>
      <c r="I56" s="33" t="s">
        <v>10</v>
      </c>
      <c r="J56" s="30">
        <v>21</v>
      </c>
      <c r="K56" s="33" t="s">
        <v>11</v>
      </c>
      <c r="L56" s="36" t="str">
        <f t="shared" si="0"/>
        <v>update `parenting_daily_news_first`  set `pushTitle` ="母乳储存，一步做错全白费！从装袋、标记到解冻的正确方法，别让宝宝喝到变质奶",`updateTime`  = now() WHERE `dnId` =1157and `ageYear`  =0and `ageMonth`  =3and `ageDay`  =21;</v>
      </c>
    </row>
    <row r="57" ht="68.25" customHeight="1" spans="1:12">
      <c r="A57" s="33" t="s">
        <v>5</v>
      </c>
      <c r="B57" s="24" t="s">
        <v>66</v>
      </c>
      <c r="C57" s="33" t="s">
        <v>7</v>
      </c>
      <c r="D57" s="30">
        <v>6162</v>
      </c>
      <c r="E57" s="33" t="s">
        <v>8</v>
      </c>
      <c r="F57" s="30">
        <v>0</v>
      </c>
      <c r="G57" s="33" t="s">
        <v>9</v>
      </c>
      <c r="H57" s="30">
        <v>3</v>
      </c>
      <c r="I57" s="33" t="s">
        <v>10</v>
      </c>
      <c r="J57" s="30">
        <v>22</v>
      </c>
      <c r="K57" s="33" t="s">
        <v>11</v>
      </c>
      <c r="L57" s="36" t="str">
        <f t="shared" si="0"/>
        <v>update `parenting_daily_news_first`  set `pushTitle` ="宝宝白天睡一会就醒？不是睡够了，是“睡眠周期”没接上！3个方法让#ta#睡得久一点",`updateTime`  = now() WHERE `dnId` =6162and `ageYear`  =0and `ageMonth`  =3and `ageDay`  =22;</v>
      </c>
    </row>
    <row r="58" ht="54.75" customHeight="1" spans="1:12">
      <c r="A58" s="33" t="s">
        <v>5</v>
      </c>
      <c r="B58" s="24" t="s">
        <v>67</v>
      </c>
      <c r="C58" s="33" t="s">
        <v>7</v>
      </c>
      <c r="D58" s="30">
        <v>6126</v>
      </c>
      <c r="E58" s="33" t="s">
        <v>8</v>
      </c>
      <c r="F58" s="30">
        <v>0</v>
      </c>
      <c r="G58" s="33" t="s">
        <v>9</v>
      </c>
      <c r="H58" s="30">
        <v>3</v>
      </c>
      <c r="I58" s="33" t="s">
        <v>10</v>
      </c>
      <c r="J58" s="30">
        <v>23</v>
      </c>
      <c r="K58" s="33" t="s">
        <v>11</v>
      </c>
      <c r="L58" s="36" t="str">
        <f t="shared" si="0"/>
        <v>update `parenting_daily_news_first`  set `pushTitle` ="上班后陪娃时间少？抓住下班后3个关键时刻，胜过一整天无效陪同",`updateTime`  = now() WHERE `dnId` =6126and `ageYear`  =0and `ageMonth`  =3and `ageDay`  =23;</v>
      </c>
    </row>
    <row r="59" ht="54.75" customHeight="1" spans="1:12">
      <c r="A59" s="33" t="s">
        <v>5</v>
      </c>
      <c r="B59" s="24" t="s">
        <v>68</v>
      </c>
      <c r="C59" s="33" t="s">
        <v>7</v>
      </c>
      <c r="D59" s="30">
        <v>4342</v>
      </c>
      <c r="E59" s="33" t="s">
        <v>8</v>
      </c>
      <c r="F59" s="30">
        <v>0</v>
      </c>
      <c r="G59" s="33" t="s">
        <v>9</v>
      </c>
      <c r="H59" s="30">
        <v>3</v>
      </c>
      <c r="I59" s="33" t="s">
        <v>10</v>
      </c>
      <c r="J59" s="30">
        <v>24</v>
      </c>
      <c r="K59" s="33" t="s">
        <v>11</v>
      </c>
      <c r="L59" s="36" t="str">
        <f t="shared" si="0"/>
        <v>update `parenting_daily_news_first`  set `pushTitle` ="喂奶不敢减肥？其实吃对就能瘦，这样吃，下奶、瘦身两不误",`updateTime`  = now() WHERE `dnId` =4342and `ageYear`  =0and `ageMonth`  =3and `ageDay`  =24;</v>
      </c>
    </row>
    <row r="60" ht="68.25" customHeight="1" spans="1:12">
      <c r="A60" s="33" t="s">
        <v>5</v>
      </c>
      <c r="B60" s="24" t="s">
        <v>69</v>
      </c>
      <c r="C60" s="33" t="s">
        <v>7</v>
      </c>
      <c r="D60" s="30">
        <v>2738</v>
      </c>
      <c r="E60" s="33" t="s">
        <v>8</v>
      </c>
      <c r="F60" s="30">
        <v>0</v>
      </c>
      <c r="G60" s="33" t="s">
        <v>9</v>
      </c>
      <c r="H60" s="30">
        <v>3</v>
      </c>
      <c r="I60" s="33" t="s">
        <v>10</v>
      </c>
      <c r="J60" s="30">
        <v>25</v>
      </c>
      <c r="K60" s="33" t="s">
        <v>11</v>
      </c>
      <c r="L60" s="36" t="str">
        <f t="shared" si="0"/>
        <v>update `parenting_daily_news_first`  set `pushTitle` ="马上要上班了，背奶要做哪些准备、母乳怎么储存、宝宝不吃奶瓶怎么办？答案在这里",`updateTime`  = now() WHERE `dnId` =2738and `ageYear`  =0and `ageMonth`  =3and `ageDay`  =25;</v>
      </c>
    </row>
    <row r="61" ht="68.25" customHeight="1" spans="1:12">
      <c r="A61" s="33" t="s">
        <v>5</v>
      </c>
      <c r="B61" s="24" t="s">
        <v>70</v>
      </c>
      <c r="C61" s="33" t="s">
        <v>7</v>
      </c>
      <c r="D61" s="30">
        <v>6432</v>
      </c>
      <c r="E61" s="33" t="s">
        <v>8</v>
      </c>
      <c r="F61" s="30">
        <v>0</v>
      </c>
      <c r="G61" s="33" t="s">
        <v>9</v>
      </c>
      <c r="H61" s="30">
        <v>3</v>
      </c>
      <c r="I61" s="33" t="s">
        <v>10</v>
      </c>
      <c r="J61" s="30">
        <v>26</v>
      </c>
      <c r="K61" s="33" t="s">
        <v>11</v>
      </c>
      <c r="L61" s="36" t="str">
        <f t="shared" si="0"/>
        <v>update `parenting_daily_news_first`  set `pushTitle` ="担心宝宝口渴，要不要喂点水？其实在这个月龄前，额外喂水反而增加负担",`updateTime`  = now() WHERE `dnId` =6432and `ageYear`  =0and `ageMonth`  =3and `ageDay`  =26;</v>
      </c>
    </row>
    <row r="62" ht="54.75" customHeight="1" spans="1:12">
      <c r="A62" s="33" t="s">
        <v>5</v>
      </c>
      <c r="B62" s="24" t="s">
        <v>71</v>
      </c>
      <c r="C62" s="33" t="s">
        <v>7</v>
      </c>
      <c r="D62" s="30">
        <v>2317</v>
      </c>
      <c r="E62" s="33" t="s">
        <v>8</v>
      </c>
      <c r="F62" s="30">
        <v>0</v>
      </c>
      <c r="G62" s="33" t="s">
        <v>9</v>
      </c>
      <c r="H62" s="30">
        <v>3</v>
      </c>
      <c r="I62" s="33" t="s">
        <v>10</v>
      </c>
      <c r="J62" s="30">
        <v>3</v>
      </c>
      <c r="K62" s="33" t="s">
        <v>11</v>
      </c>
      <c r="L62" s="36" t="str">
        <f t="shared" si="0"/>
        <v>update `parenting_daily_news_first`  set `pushTitle` ="6个月前的宝宝很容易长湿疹，这篇护理指南请收好，关键时候用得上",`updateTime`  = now() WHERE `dnId` =2317and `ageYear`  =0and `ageMonth`  =3and `ageDay`  =3;</v>
      </c>
    </row>
    <row r="63" ht="68.25" customHeight="1" spans="1:12">
      <c r="A63" s="33" t="s">
        <v>5</v>
      </c>
      <c r="B63" s="24" t="s">
        <v>72</v>
      </c>
      <c r="C63" s="33" t="s">
        <v>7</v>
      </c>
      <c r="D63" s="30">
        <v>2040</v>
      </c>
      <c r="E63" s="33" t="s">
        <v>8</v>
      </c>
      <c r="F63" s="30">
        <v>0</v>
      </c>
      <c r="G63" s="33" t="s">
        <v>9</v>
      </c>
      <c r="H63" s="30">
        <v>3</v>
      </c>
      <c r="I63" s="33" t="s">
        <v>10</v>
      </c>
      <c r="J63" s="30">
        <v>5</v>
      </c>
      <c r="K63" s="33" t="s">
        <v>11</v>
      </c>
      <c r="L63" s="36" t="str">
        <f t="shared" si="0"/>
        <v>update `parenting_daily_news_first`  set `pushTitle` ="如果#baby#有这2个动作，说明快会翻身了！看懂信号及时辅助，帮#ta#完成第一次翻身",`updateTime`  = now() WHERE `dnId` =2040and `ageYear`  =0and `ageMonth`  =3and `ageDay`  =5;</v>
      </c>
    </row>
    <row r="64" ht="68.25" customHeight="1" spans="1:12">
      <c r="A64" s="33" t="s">
        <v>5</v>
      </c>
      <c r="B64" s="24" t="s">
        <v>73</v>
      </c>
      <c r="C64" s="33" t="s">
        <v>7</v>
      </c>
      <c r="D64" s="30">
        <v>6386</v>
      </c>
      <c r="E64" s="33" t="s">
        <v>8</v>
      </c>
      <c r="F64" s="30">
        <v>0</v>
      </c>
      <c r="G64" s="33" t="s">
        <v>9</v>
      </c>
      <c r="H64" s="30">
        <v>4</v>
      </c>
      <c r="I64" s="33" t="s">
        <v>10</v>
      </c>
      <c r="J64" s="30">
        <v>13</v>
      </c>
      <c r="K64" s="33" t="s">
        <v>11</v>
      </c>
      <c r="L64" s="36" t="str">
        <f t="shared" si="0"/>
        <v>update `parenting_daily_news_first`  set `pushTitle` ="有的宝宝4个月就长牙了，一般先长哪颗牙？长牙顺序有规律吗？出牙晚了该怎么办？",`updateTime`  = now() WHERE `dnId` =6386and `ageYear`  =0and `ageMonth`  =4and `ageDay`  =13;</v>
      </c>
    </row>
    <row r="65" ht="54.75" customHeight="1" spans="1:12">
      <c r="A65" s="33" t="s">
        <v>5</v>
      </c>
      <c r="B65" s="24" t="s">
        <v>74</v>
      </c>
      <c r="C65" s="33" t="s">
        <v>7</v>
      </c>
      <c r="D65" s="30">
        <v>23</v>
      </c>
      <c r="E65" s="33" t="s">
        <v>8</v>
      </c>
      <c r="F65" s="30">
        <v>0</v>
      </c>
      <c r="G65" s="33" t="s">
        <v>9</v>
      </c>
      <c r="H65" s="30">
        <v>4</v>
      </c>
      <c r="I65" s="33" t="s">
        <v>10</v>
      </c>
      <c r="J65" s="30">
        <v>14</v>
      </c>
      <c r="K65" s="33" t="s">
        <v>11</v>
      </c>
      <c r="L65" s="36" t="str">
        <f t="shared" si="0"/>
        <v>update `parenting_daily_news_first`  set `pushTitle` ="4～6个月是宝宝厌奶高发期，提前了解原因和方法，顺利度过厌奶期",`updateTime`  = now() WHERE `dnId` =23and `ageYear`  =0and `ageMonth`  =4and `ageDay`  =14;</v>
      </c>
    </row>
    <row r="66" ht="68.25" customHeight="1" spans="1:12">
      <c r="A66" s="33" t="s">
        <v>5</v>
      </c>
      <c r="B66" s="24" t="s">
        <v>75</v>
      </c>
      <c r="C66" s="33" t="s">
        <v>7</v>
      </c>
      <c r="D66" s="30">
        <v>6131</v>
      </c>
      <c r="E66" s="33" t="s">
        <v>8</v>
      </c>
      <c r="F66" s="30">
        <v>0</v>
      </c>
      <c r="G66" s="33" t="s">
        <v>9</v>
      </c>
      <c r="H66" s="30">
        <v>4</v>
      </c>
      <c r="I66" s="33" t="s">
        <v>10</v>
      </c>
      <c r="J66" s="30">
        <v>17</v>
      </c>
      <c r="K66" s="33" t="s">
        <v>11</v>
      </c>
      <c r="L66" s="36" t="str">
        <f t="shared" ref="L66:L129" si="1">A66&amp;B66&amp;C66&amp;D66&amp;E66&amp;F66&amp;G66&amp;H66&amp;I66&amp;J66&amp;K66</f>
        <v>update `parenting_daily_news_first`  set `pushTitle` ="可以提早给#baby#加辅食吗？其实4个月就能尝试，关键看#ta#有没有发出这几个信号",`updateTime`  = now() WHERE `dnId` =6131and `ageYear`  =0and `ageMonth`  =4and `ageDay`  =17;</v>
      </c>
    </row>
    <row r="67" ht="81.75" customHeight="1" spans="1:12">
      <c r="A67" s="33" t="s">
        <v>5</v>
      </c>
      <c r="B67" s="24" t="s">
        <v>76</v>
      </c>
      <c r="C67" s="33" t="s">
        <v>7</v>
      </c>
      <c r="D67" s="30">
        <v>6125</v>
      </c>
      <c r="E67" s="33" t="s">
        <v>8</v>
      </c>
      <c r="F67" s="30">
        <v>0</v>
      </c>
      <c r="G67" s="33" t="s">
        <v>9</v>
      </c>
      <c r="H67" s="30">
        <v>4</v>
      </c>
      <c r="I67" s="33" t="s">
        <v>10</v>
      </c>
      <c r="J67" s="30">
        <v>19</v>
      </c>
      <c r="K67" s="33" t="s">
        <v>11</v>
      </c>
      <c r="L67" s="36" t="str">
        <f t="shared" si="1"/>
        <v>update `parenting_daily_news_first`  set `pushTitle` ="有的宝宝4个月就可能出现分离焦虑了！黏人、找妈妈、不让走……你的反应决定宝宝能否平稳度过",`updateTime`  = now() WHERE `dnId` =6125and `ageYear`  =0and `ageMonth`  =4and `ageDay`  =19;</v>
      </c>
    </row>
    <row r="68" ht="54.75" customHeight="1" spans="1:12">
      <c r="A68" s="33" t="s">
        <v>5</v>
      </c>
      <c r="B68" s="24" t="s">
        <v>77</v>
      </c>
      <c r="C68" s="33" t="s">
        <v>7</v>
      </c>
      <c r="D68" s="30">
        <v>2737</v>
      </c>
      <c r="E68" s="33" t="s">
        <v>8</v>
      </c>
      <c r="F68" s="30">
        <v>0</v>
      </c>
      <c r="G68" s="33" t="s">
        <v>9</v>
      </c>
      <c r="H68" s="30">
        <v>4</v>
      </c>
      <c r="I68" s="33" t="s">
        <v>10</v>
      </c>
      <c r="J68" s="30">
        <v>1</v>
      </c>
      <c r="K68" s="33" t="s">
        <v>11</v>
      </c>
      <c r="L68" s="36" t="str">
        <f t="shared" si="1"/>
        <v>update `parenting_daily_news_first`  set `pushTitle` ="马上要上班了，背奶物品准备好了吗？对照这份清单，快速查漏补缺",`updateTime`  = now() WHERE `dnId` =2737and `ageYear`  =0and `ageMonth`  =4and `ageDay`  =1;</v>
      </c>
    </row>
    <row r="69" ht="68.25" customHeight="1" spans="1:12">
      <c r="A69" s="33" t="s">
        <v>5</v>
      </c>
      <c r="B69" s="24" t="s">
        <v>78</v>
      </c>
      <c r="C69" s="33" t="s">
        <v>7</v>
      </c>
      <c r="D69" s="30">
        <v>6135</v>
      </c>
      <c r="E69" s="33" t="s">
        <v>8</v>
      </c>
      <c r="F69" s="30">
        <v>0</v>
      </c>
      <c r="G69" s="33" t="s">
        <v>9</v>
      </c>
      <c r="H69" s="30">
        <v>4</v>
      </c>
      <c r="I69" s="33" t="s">
        <v>10</v>
      </c>
      <c r="J69" s="30">
        <v>23</v>
      </c>
      <c r="K69" s="33" t="s">
        <v>11</v>
      </c>
      <c r="L69" s="36" t="str">
        <f t="shared" si="1"/>
        <v>update `parenting_daily_news_first`  set `pushTitle` ="#baby#马上要吃辅食了，先吃哪种食物、一次吃多少、每天怎么安排？记住4个原则",`updateTime`  = now() WHERE `dnId` =6135and `ageYear`  =0and `ageMonth`  =4and `ageDay`  =23;</v>
      </c>
    </row>
    <row r="70" ht="54.75" customHeight="1" spans="1:12">
      <c r="A70" s="33" t="s">
        <v>5</v>
      </c>
      <c r="B70" s="24" t="s">
        <v>79</v>
      </c>
      <c r="C70" s="33" t="s">
        <v>7</v>
      </c>
      <c r="D70" s="30">
        <v>2882</v>
      </c>
      <c r="E70" s="33" t="s">
        <v>8</v>
      </c>
      <c r="F70" s="30">
        <v>0</v>
      </c>
      <c r="G70" s="33" t="s">
        <v>9</v>
      </c>
      <c r="H70" s="30">
        <v>4</v>
      </c>
      <c r="I70" s="33" t="s">
        <v>10</v>
      </c>
      <c r="J70" s="30">
        <v>24</v>
      </c>
      <c r="K70" s="33" t="s">
        <v>11</v>
      </c>
      <c r="L70" s="36" t="str">
        <f t="shared" si="1"/>
        <v>update `parenting_daily_news_first`  set `pushTitle` ="给宝宝断奶前，先看看这3个准备做好了吗？少一个都可能前功尽弃",`updateTime`  = now() WHERE `dnId` =2882and `ageYear`  =0and `ageMonth`  =4and `ageDay`  =24;</v>
      </c>
    </row>
    <row r="71" ht="81.75" customHeight="1" spans="1:12">
      <c r="A71" s="33" t="s">
        <v>5</v>
      </c>
      <c r="B71" s="24" t="s">
        <v>80</v>
      </c>
      <c r="C71" s="33" t="s">
        <v>7</v>
      </c>
      <c r="D71" s="30">
        <v>6136</v>
      </c>
      <c r="E71" s="33" t="s">
        <v>8</v>
      </c>
      <c r="F71" s="30">
        <v>0</v>
      </c>
      <c r="G71" s="33" t="s">
        <v>9</v>
      </c>
      <c r="H71" s="30">
        <v>4</v>
      </c>
      <c r="I71" s="33" t="s">
        <v>10</v>
      </c>
      <c r="J71" s="30">
        <v>25</v>
      </c>
      <c r="K71" s="33" t="s">
        <v>11</v>
      </c>
      <c r="L71" s="36" t="str">
        <f t="shared" si="1"/>
        <v>update `parenting_daily_news_first`  set `pushTitle` ="第一次给#baby#冲米粉，先放水还是先放粉？水温多少？稠度怎么调？手把手教你正确步骤",`updateTime`  = now() WHERE `dnId` =6136and `ageYear`  =0and `ageMonth`  =4and `ageDay`  =25;</v>
      </c>
    </row>
    <row r="72" ht="68.25" customHeight="1" spans="1:12">
      <c r="A72" s="33" t="s">
        <v>5</v>
      </c>
      <c r="B72" s="24" t="s">
        <v>81</v>
      </c>
      <c r="C72" s="33" t="s">
        <v>7</v>
      </c>
      <c r="D72" s="30">
        <v>4284</v>
      </c>
      <c r="E72" s="33" t="s">
        <v>8</v>
      </c>
      <c r="F72" s="30">
        <v>0</v>
      </c>
      <c r="G72" s="33" t="s">
        <v>9</v>
      </c>
      <c r="H72" s="30">
        <v>4</v>
      </c>
      <c r="I72" s="33" t="s">
        <v>10</v>
      </c>
      <c r="J72" s="30">
        <v>26</v>
      </c>
      <c r="K72" s="33" t="s">
        <v>11</v>
      </c>
      <c r="L72" s="36" t="str">
        <f t="shared" si="1"/>
        <v>update `parenting_daily_news_first`  set `pushTitle` ="#baby#的生长曲线能反应发育快慢，但如果只看曲线高低，你可能一直看错了",`updateTime`  = now() WHERE `dnId` =4284and `ageYear`  =0and `ageMonth`  =4and `ageDay`  =26;</v>
      </c>
    </row>
    <row r="73" ht="68.25" customHeight="1" spans="1:12">
      <c r="A73" s="33" t="s">
        <v>5</v>
      </c>
      <c r="B73" s="24" t="s">
        <v>82</v>
      </c>
      <c r="C73" s="33" t="s">
        <v>7</v>
      </c>
      <c r="D73" s="30">
        <v>2401</v>
      </c>
      <c r="E73" s="33" t="s">
        <v>8</v>
      </c>
      <c r="F73" s="30">
        <v>0</v>
      </c>
      <c r="G73" s="33" t="s">
        <v>9</v>
      </c>
      <c r="H73" s="30">
        <v>4</v>
      </c>
      <c r="I73" s="33" t="s">
        <v>10</v>
      </c>
      <c r="J73" s="30">
        <v>27</v>
      </c>
      <c r="K73" s="33" t="s">
        <v>11</v>
      </c>
      <c r="L73" s="36" t="str">
        <f t="shared" si="1"/>
        <v>update `parenting_daily_news_first`  set `pushTitle` ="#baby#的辅食工具准备好了吗？先别急着买一堆，这几种最常用，买了不积灰",`updateTime`  = now() WHERE `dnId` =2401and `ageYear`  =0and `ageMonth`  =4and `ageDay`  =27;</v>
      </c>
    </row>
    <row r="74" ht="68.25" customHeight="1" spans="1:12">
      <c r="A74" s="33" t="s">
        <v>5</v>
      </c>
      <c r="B74" s="24" t="s">
        <v>83</v>
      </c>
      <c r="C74" s="33" t="s">
        <v>7</v>
      </c>
      <c r="D74" s="30">
        <v>2550</v>
      </c>
      <c r="E74" s="33" t="s">
        <v>8</v>
      </c>
      <c r="F74" s="30">
        <v>0</v>
      </c>
      <c r="G74" s="33" t="s">
        <v>9</v>
      </c>
      <c r="H74" s="30">
        <v>4</v>
      </c>
      <c r="I74" s="33" t="s">
        <v>10</v>
      </c>
      <c r="J74" s="30">
        <v>28</v>
      </c>
      <c r="K74" s="33" t="s">
        <v>11</v>
      </c>
      <c r="L74" s="36" t="str">
        <f t="shared" si="1"/>
        <v>update `parenting_daily_news_first`  set `pushTitle` ="想让宝宝顺利接受奶瓶🍼，引入时机和方法是关键，做对第一步，瓶喂更轻松",`updateTime`  = now() WHERE `dnId` =2550and `ageYear`  =0and `ageMonth`  =4and `ageDay`  =28;</v>
      </c>
    </row>
    <row r="75" ht="81.75" customHeight="1" spans="1:12">
      <c r="A75" s="33" t="s">
        <v>5</v>
      </c>
      <c r="B75" s="24" t="s">
        <v>84</v>
      </c>
      <c r="C75" s="33" t="s">
        <v>7</v>
      </c>
      <c r="D75" s="30">
        <v>105</v>
      </c>
      <c r="E75" s="33" t="s">
        <v>8</v>
      </c>
      <c r="F75" s="30">
        <v>0</v>
      </c>
      <c r="G75" s="33" t="s">
        <v>9</v>
      </c>
      <c r="H75" s="30">
        <v>4</v>
      </c>
      <c r="I75" s="33" t="s">
        <v>10</v>
      </c>
      <c r="J75" s="30">
        <v>29</v>
      </c>
      <c r="K75" s="33" t="s">
        <v>11</v>
      </c>
      <c r="L75" s="36" t="str">
        <f t="shared" si="1"/>
        <v>update `parenting_daily_news_first`  set `pushTitle` ="想让#baby#发育更好？别只关注大运动，精细动作同样重要，0～3岁这样练，能刺激大脑发育",`updateTime`  = now() WHERE `dnId` =105and `ageYear`  =0and `ageMonth`  =4and `ageDay`  =29;</v>
      </c>
    </row>
    <row r="76" ht="68.25" customHeight="1" spans="1:12">
      <c r="A76" s="33" t="s">
        <v>5</v>
      </c>
      <c r="B76" s="24" t="s">
        <v>85</v>
      </c>
      <c r="C76" s="33" t="s">
        <v>7</v>
      </c>
      <c r="D76" s="30">
        <v>29</v>
      </c>
      <c r="E76" s="33" t="s">
        <v>8</v>
      </c>
      <c r="F76" s="30">
        <v>0</v>
      </c>
      <c r="G76" s="33" t="s">
        <v>9</v>
      </c>
      <c r="H76" s="30">
        <v>4</v>
      </c>
      <c r="I76" s="33" t="s">
        <v>10</v>
      </c>
      <c r="J76" s="30">
        <v>7</v>
      </c>
      <c r="K76" s="33" t="s">
        <v>11</v>
      </c>
      <c r="L76" s="36" t="str">
        <f t="shared" si="1"/>
        <v>update `parenting_daily_news_first`  set `pushTitle` ="4～6个月是宝宝手眼协调能力发展关键期！这3个动作每天练，轻松锻炼抓握和追视能力",`updateTime`  = now() WHERE `dnId` =29and `ageYear`  =0and `ageMonth`  =4and `ageDay`  =7;</v>
      </c>
    </row>
    <row r="77" ht="68.25" customHeight="1" spans="1:12">
      <c r="A77" s="33" t="s">
        <v>5</v>
      </c>
      <c r="B77" s="24" t="s">
        <v>86</v>
      </c>
      <c r="C77" s="33" t="s">
        <v>7</v>
      </c>
      <c r="D77" s="30">
        <v>2553</v>
      </c>
      <c r="E77" s="33" t="s">
        <v>8</v>
      </c>
      <c r="F77" s="30">
        <v>0</v>
      </c>
      <c r="G77" s="33" t="s">
        <v>9</v>
      </c>
      <c r="H77" s="30">
        <v>4</v>
      </c>
      <c r="I77" s="33" t="s">
        <v>10</v>
      </c>
      <c r="J77" s="30">
        <v>9</v>
      </c>
      <c r="K77" s="33" t="s">
        <v>11</v>
      </c>
      <c r="L77" s="36" t="str">
        <f t="shared" si="1"/>
        <v>update `parenting_daily_news_first`  set `pushTitle` ="有些宝宝刚开始喝奶粉时会抗拒，先别急着换牌子，按这4个步骤排查，大多能解决",`updateTime`  = now() WHERE `dnId` =2553and `ageYear`  =0and `ageMonth`  =4and `ageDay`  =9;</v>
      </c>
    </row>
    <row r="78" ht="81.75" customHeight="1" spans="1:12">
      <c r="A78" s="33" t="s">
        <v>5</v>
      </c>
      <c r="B78" s="24" t="s">
        <v>87</v>
      </c>
      <c r="C78" s="33" t="s">
        <v>7</v>
      </c>
      <c r="D78" s="30">
        <v>223</v>
      </c>
      <c r="E78" s="33" t="s">
        <v>8</v>
      </c>
      <c r="F78" s="30">
        <v>0</v>
      </c>
      <c r="G78" s="33" t="s">
        <v>9</v>
      </c>
      <c r="H78" s="30">
        <v>5</v>
      </c>
      <c r="I78" s="33" t="s">
        <v>10</v>
      </c>
      <c r="J78" s="30">
        <v>11</v>
      </c>
      <c r="K78" s="33" t="s">
        <v>11</v>
      </c>
      <c r="L78" s="36" t="str">
        <f t="shared" si="1"/>
        <v>update `parenting_daily_news_first`  set `pushTitle` ="现在用腰凳、背巾带娃出门确实省力，但姿势错了可能影响髋关节发育！快对照检查一下",`updateTime`  = now() WHERE `dnId` =223and `ageYear`  =0and `ageMonth`  =5and `ageDay`  =11;</v>
      </c>
    </row>
    <row r="79" ht="54.75" customHeight="1" spans="1:12">
      <c r="A79" s="33" t="s">
        <v>5</v>
      </c>
      <c r="B79" s="24" t="s">
        <v>88</v>
      </c>
      <c r="C79" s="33" t="s">
        <v>7</v>
      </c>
      <c r="D79" s="30">
        <v>2768</v>
      </c>
      <c r="E79" s="33" t="s">
        <v>8</v>
      </c>
      <c r="F79" s="30">
        <v>0</v>
      </c>
      <c r="G79" s="33" t="s">
        <v>9</v>
      </c>
      <c r="H79" s="30">
        <v>5</v>
      </c>
      <c r="I79" s="33" t="s">
        <v>10</v>
      </c>
      <c r="J79" s="30">
        <v>12</v>
      </c>
      <c r="K79" s="33" t="s">
        <v>11</v>
      </c>
      <c r="L79" s="36" t="str">
        <f t="shared" si="1"/>
        <v>update `parenting_daily_news_first`  set `pushTitle` ="宝宝出现阵发性哭闹要警惕！可能是“肠套叠”，4个信号教你快速判断",`updateTime`  = now() WHERE `dnId` =2768and `ageYear`  =0and `ageMonth`  =5and `ageDay`  =12;</v>
      </c>
    </row>
    <row r="80" ht="54.75" customHeight="1" spans="1:12">
      <c r="A80" s="33" t="s">
        <v>5</v>
      </c>
      <c r="B80" s="24" t="s">
        <v>89</v>
      </c>
      <c r="C80" s="33" t="s">
        <v>7</v>
      </c>
      <c r="D80" s="30">
        <v>248</v>
      </c>
      <c r="E80" s="33" t="s">
        <v>8</v>
      </c>
      <c r="F80" s="30">
        <v>0</v>
      </c>
      <c r="G80" s="33" t="s">
        <v>9</v>
      </c>
      <c r="H80" s="30">
        <v>5</v>
      </c>
      <c r="I80" s="33" t="s">
        <v>10</v>
      </c>
      <c r="J80" s="30">
        <v>13</v>
      </c>
      <c r="K80" s="33" t="s">
        <v>11</v>
      </c>
      <c r="L80" s="36" t="str">
        <f t="shared" si="1"/>
        <v>update `parenting_daily_news_first`  set `pushTitle` ="4～6个月是宝宝贫血高发期，每3个就有1个中招，这些缺铁信号别忽视",`updateTime`  = now() WHERE `dnId` =248and `ageYear`  =0and `ageMonth`  =5and `ageDay`  =13;</v>
      </c>
    </row>
    <row r="81" ht="68.25" customHeight="1" spans="1:12">
      <c r="A81" s="33" t="s">
        <v>5</v>
      </c>
      <c r="B81" s="24" t="s">
        <v>90</v>
      </c>
      <c r="C81" s="33" t="s">
        <v>7</v>
      </c>
      <c r="D81" s="30">
        <v>6180</v>
      </c>
      <c r="E81" s="33" t="s">
        <v>8</v>
      </c>
      <c r="F81" s="30">
        <v>0</v>
      </c>
      <c r="G81" s="33" t="s">
        <v>9</v>
      </c>
      <c r="H81" s="30">
        <v>5</v>
      </c>
      <c r="I81" s="33" t="s">
        <v>10</v>
      </c>
      <c r="J81" s="30">
        <v>14</v>
      </c>
      <c r="K81" s="33" t="s">
        <v>11</v>
      </c>
      <c r="L81" s="36" t="str">
        <f t="shared" si="1"/>
        <v>update `parenting_daily_news_first`  set `pushTitle` ="添加辅食后，有的宝宝几天不拉便便，这不一定是便秘！真便秘要看这个关键信号",`updateTime`  = now() WHERE `dnId` =6180and `ageYear`  =0and `ageMonth`  =5and `ageDay`  =14;</v>
      </c>
    </row>
    <row r="82" ht="68.25" customHeight="1" spans="1:12">
      <c r="A82" s="33" t="s">
        <v>5</v>
      </c>
      <c r="B82" s="24" t="s">
        <v>91</v>
      </c>
      <c r="C82" s="33" t="s">
        <v>7</v>
      </c>
      <c r="D82" s="30">
        <v>6146</v>
      </c>
      <c r="E82" s="33" t="s">
        <v>8</v>
      </c>
      <c r="F82" s="30">
        <v>0</v>
      </c>
      <c r="G82" s="33" t="s">
        <v>9</v>
      </c>
      <c r="H82" s="30">
        <v>5</v>
      </c>
      <c r="I82" s="33" t="s">
        <v>10</v>
      </c>
      <c r="J82" s="30">
        <v>18</v>
      </c>
      <c r="K82" s="33" t="s">
        <v>11</v>
      </c>
      <c r="L82" s="36" t="str">
        <f t="shared" si="1"/>
        <v>update `parenting_daily_news_first`  set `pushTitle` ="有的宝宝吃辅食后起疹子、拉肚子，可能是食物过敏，一文看懂常见症状与应对方法",`updateTime`  = now() WHERE `dnId` =6146and `ageYear`  =0and `ageMonth`  =5and `ageDay`  =18;</v>
      </c>
    </row>
    <row r="83" ht="54.75" customHeight="1" spans="1:12">
      <c r="A83" s="33" t="s">
        <v>5</v>
      </c>
      <c r="B83" s="24" t="s">
        <v>92</v>
      </c>
      <c r="C83" s="33" t="s">
        <v>7</v>
      </c>
      <c r="D83" s="30">
        <v>80</v>
      </c>
      <c r="E83" s="33" t="s">
        <v>8</v>
      </c>
      <c r="F83" s="30">
        <v>0</v>
      </c>
      <c r="G83" s="33" t="s">
        <v>9</v>
      </c>
      <c r="H83" s="30">
        <v>5</v>
      </c>
      <c r="I83" s="33" t="s">
        <v>10</v>
      </c>
      <c r="J83" s="30">
        <v>20</v>
      </c>
      <c r="K83" s="33" t="s">
        <v>11</v>
      </c>
      <c r="L83" s="36" t="str">
        <f t="shared" si="1"/>
        <v>update `parenting_daily_news_first`  set `pushTitle` ="#baby#需要维生素D、铁、锌、钙吗？其实真正需要补的只有2种",`updateTime`  = now() WHERE `dnId` =80and `ageYear`  =0and `ageMonth`  =5and `ageDay`  =20;</v>
      </c>
    </row>
    <row r="84" ht="68.25" customHeight="1" spans="1:12">
      <c r="A84" s="33" t="s">
        <v>5</v>
      </c>
      <c r="B84" s="24" t="s">
        <v>93</v>
      </c>
      <c r="C84" s="33" t="s">
        <v>7</v>
      </c>
      <c r="D84" s="30">
        <v>84</v>
      </c>
      <c r="E84" s="33" t="s">
        <v>8</v>
      </c>
      <c r="F84" s="30">
        <v>0</v>
      </c>
      <c r="G84" s="33" t="s">
        <v>9</v>
      </c>
      <c r="H84" s="30">
        <v>5</v>
      </c>
      <c r="I84" s="33" t="s">
        <v>10</v>
      </c>
      <c r="J84" s="30">
        <v>21</v>
      </c>
      <c r="K84" s="33" t="s">
        <v>11</v>
      </c>
      <c r="L84" s="36" t="str">
        <f t="shared" si="1"/>
        <v>update `parenting_daily_news_first`  set `pushTitle` ="#baby#吃辅食就要坐餐椅了，5个餐椅挑选技巧一次说清，用到3岁都省心",`updateTime`  = now() WHERE `dnId` =84and `ageYear`  =0and `ageMonth`  =5and `ageDay`  =21;</v>
      </c>
    </row>
    <row r="85" ht="54.75" customHeight="1" spans="1:12">
      <c r="A85" s="33" t="s">
        <v>5</v>
      </c>
      <c r="B85" s="24" t="s">
        <v>94</v>
      </c>
      <c r="C85" s="33" t="s">
        <v>7</v>
      </c>
      <c r="D85" s="30">
        <v>6145</v>
      </c>
      <c r="E85" s="33" t="s">
        <v>8</v>
      </c>
      <c r="F85" s="30">
        <v>0</v>
      </c>
      <c r="G85" s="33" t="s">
        <v>9</v>
      </c>
      <c r="H85" s="30">
        <v>5</v>
      </c>
      <c r="I85" s="33" t="s">
        <v>10</v>
      </c>
      <c r="J85" s="30">
        <v>25</v>
      </c>
      <c r="K85" s="33" t="s">
        <v>11</v>
      </c>
      <c r="L85" s="36" t="str">
        <f t="shared" si="1"/>
        <v>update `parenting_daily_news_first`  set `pushTitle` ="#baby#辅食吃不完？这样分装冷冻保存，营养几乎不流失",`updateTime`  = now() WHERE `dnId` =6145and `ageYear`  =0and `ageMonth`  =5and `ageDay`  =25;</v>
      </c>
    </row>
    <row r="86" ht="54.75" customHeight="1" spans="1:12">
      <c r="A86" s="33" t="s">
        <v>5</v>
      </c>
      <c r="B86" s="24" t="s">
        <v>95</v>
      </c>
      <c r="C86" s="33" t="s">
        <v>7</v>
      </c>
      <c r="D86" s="30">
        <v>6443</v>
      </c>
      <c r="E86" s="33" t="s">
        <v>8</v>
      </c>
      <c r="F86" s="30">
        <v>0</v>
      </c>
      <c r="G86" s="33" t="s">
        <v>9</v>
      </c>
      <c r="H86" s="30">
        <v>5</v>
      </c>
      <c r="I86" s="33" t="s">
        <v>10</v>
      </c>
      <c r="J86" s="30">
        <v>2</v>
      </c>
      <c r="K86" s="33" t="s">
        <v>11</v>
      </c>
      <c r="L86" s="36" t="str">
        <f t="shared" si="1"/>
        <v>update `parenting_daily_news_first`  set `pushTitle` ="宝宝吃奶不专心，不一定是不爱喝！这3种情况其实是正常现象",`updateTime`  = now() WHERE `dnId` =6443and `ageYear`  =0and `ageMonth`  =5and `ageDay`  =2;</v>
      </c>
    </row>
    <row r="87" ht="54.75" customHeight="1" spans="1:12">
      <c r="A87" s="33" t="s">
        <v>5</v>
      </c>
      <c r="B87" s="24" t="s">
        <v>96</v>
      </c>
      <c r="C87" s="33" t="s">
        <v>7</v>
      </c>
      <c r="D87" s="30">
        <v>25</v>
      </c>
      <c r="E87" s="33" t="s">
        <v>8</v>
      </c>
      <c r="F87" s="30">
        <v>0</v>
      </c>
      <c r="G87" s="33" t="s">
        <v>9</v>
      </c>
      <c r="H87" s="30">
        <v>5</v>
      </c>
      <c r="I87" s="33" t="s">
        <v>10</v>
      </c>
      <c r="J87" s="30">
        <v>5</v>
      </c>
      <c r="K87" s="33" t="s">
        <v>11</v>
      </c>
      <c r="L87" s="36" t="str">
        <f t="shared" si="1"/>
        <v>update `parenting_daily_news_first`  set `pushTitle` ="你会给#baby#做辅食泥吗？红薯泥、菜泥、肉泥做法合集，建议收藏",`updateTime`  = now() WHERE `dnId` =25and `ageYear`  =0and `ageMonth`  =5and `ageDay`  =5;</v>
      </c>
    </row>
    <row r="88" ht="54.75" customHeight="1" spans="1:12">
      <c r="A88" s="33" t="s">
        <v>5</v>
      </c>
      <c r="B88" s="38" t="s">
        <v>97</v>
      </c>
      <c r="C88" s="33" t="s">
        <v>7</v>
      </c>
      <c r="D88" s="30">
        <v>6099</v>
      </c>
      <c r="E88" s="33" t="s">
        <v>8</v>
      </c>
      <c r="F88" s="30">
        <v>0</v>
      </c>
      <c r="G88" s="33" t="s">
        <v>9</v>
      </c>
      <c r="H88" s="30">
        <v>5</v>
      </c>
      <c r="I88" s="33" t="s">
        <v>10</v>
      </c>
      <c r="J88" s="30">
        <v>9</v>
      </c>
      <c r="K88" s="33" t="s">
        <v>11</v>
      </c>
      <c r="L88" s="36" t="str">
        <f t="shared" si="1"/>
        <v>update `parenting_daily_news_first`  set `pushTitle` ="都说DHA能让宝宝更聪明，需要给#baby#补吗？先看奶量和辅食够不够",`updateTime`  = now() WHERE `dnId` =6099and `ageYear`  =0and `ageMonth`  =5and `ageDay`  =9;</v>
      </c>
    </row>
    <row r="89" ht="68.25" customHeight="1" spans="1:12">
      <c r="A89" s="33" t="s">
        <v>5</v>
      </c>
      <c r="B89" s="38" t="s">
        <v>98</v>
      </c>
      <c r="C89" s="33" t="s">
        <v>7</v>
      </c>
      <c r="D89" s="30">
        <v>5990</v>
      </c>
      <c r="E89" s="33" t="s">
        <v>8</v>
      </c>
      <c r="F89" s="30">
        <v>0</v>
      </c>
      <c r="G89" s="33" t="s">
        <v>9</v>
      </c>
      <c r="H89" s="30">
        <v>6</v>
      </c>
      <c r="I89" s="33" t="s">
        <v>10</v>
      </c>
      <c r="J89" s="30">
        <v>10</v>
      </c>
      <c r="K89" s="33" t="s">
        <v>11</v>
      </c>
      <c r="L89" s="36" t="str">
        <f t="shared" si="1"/>
        <v>update `parenting_daily_news_first`  set `pushTitle` ="很多宝宝第一次高烧可能是它引起的！7～13个月为高发期，提前了解如何判断和护理",`updateTime`  = now() WHERE `dnId` =5990and `ageYear`  =0and `ageMonth`  =6and `ageDay`  =10;</v>
      </c>
    </row>
    <row r="90" ht="54.75" customHeight="1" spans="1:12">
      <c r="A90" s="33" t="s">
        <v>5</v>
      </c>
      <c r="B90" s="38" t="s">
        <v>99</v>
      </c>
      <c r="C90" s="33" t="s">
        <v>7</v>
      </c>
      <c r="D90" s="30">
        <v>6195</v>
      </c>
      <c r="E90" s="33" t="s">
        <v>8</v>
      </c>
      <c r="F90" s="30">
        <v>0</v>
      </c>
      <c r="G90" s="33" t="s">
        <v>9</v>
      </c>
      <c r="H90" s="30">
        <v>6</v>
      </c>
      <c r="I90" s="33" t="s">
        <v>10</v>
      </c>
      <c r="J90" s="30">
        <v>11</v>
      </c>
      <c r="K90" s="33" t="s">
        <v>11</v>
      </c>
      <c r="L90" s="36" t="str">
        <f t="shared" si="1"/>
        <v>update `parenting_daily_news_first`  set `pushTitle` ="不想宝宝之后挑食偏食、追着喂饭，从现在开始做好这1点",`updateTime`  = now() WHERE `dnId` =6195and `ageYear`  =0and `ageMonth`  =6and `ageDay`  =11;</v>
      </c>
    </row>
    <row r="91" ht="54.75" customHeight="1" spans="1:12">
      <c r="A91" s="33" t="s">
        <v>5</v>
      </c>
      <c r="B91" s="38" t="s">
        <v>100</v>
      </c>
      <c r="C91" s="33" t="s">
        <v>7</v>
      </c>
      <c r="D91" s="30">
        <v>2520</v>
      </c>
      <c r="E91" s="33" t="s">
        <v>8</v>
      </c>
      <c r="F91" s="30">
        <v>0</v>
      </c>
      <c r="G91" s="33" t="s">
        <v>9</v>
      </c>
      <c r="H91" s="30">
        <v>6</v>
      </c>
      <c r="I91" s="33" t="s">
        <v>10</v>
      </c>
      <c r="J91" s="30">
        <v>12</v>
      </c>
      <c r="K91" s="33" t="s">
        <v>11</v>
      </c>
      <c r="L91" s="36" t="str">
        <f t="shared" si="1"/>
        <v>update `parenting_daily_news_first`  set `pushTitle` ="宝宝6个月了，经常扶着腋窝练习站，真的能让#ta#站得更好吗？",`updateTime`  = now() WHERE `dnId` =2520and `ageYear`  =0and `ageMonth`  =6and `ageDay`  =12;</v>
      </c>
    </row>
    <row r="92" ht="54.75" customHeight="1" spans="1:12">
      <c r="A92" s="33" t="s">
        <v>5</v>
      </c>
      <c r="B92" s="38" t="s">
        <v>101</v>
      </c>
      <c r="C92" s="33" t="s">
        <v>7</v>
      </c>
      <c r="D92" s="30">
        <v>245</v>
      </c>
      <c r="E92" s="33" t="s">
        <v>8</v>
      </c>
      <c r="F92" s="30">
        <v>0</v>
      </c>
      <c r="G92" s="33" t="s">
        <v>9</v>
      </c>
      <c r="H92" s="30">
        <v>6</v>
      </c>
      <c r="I92" s="33" t="s">
        <v>10</v>
      </c>
      <c r="J92" s="30">
        <v>13</v>
      </c>
      <c r="K92" s="33" t="s">
        <v>11</v>
      </c>
      <c r="L92" s="36" t="str">
        <f t="shared" si="1"/>
        <v>update `parenting_daily_news_first`  set `pushTitle` ="宝宝拉绿色便便别慌！这5种情况是正常的，只有1种需要警惕",`updateTime`  = now() WHERE `dnId` =245and `ageYear`  =0and `ageMonth`  =6and `ageDay`  =13;</v>
      </c>
    </row>
    <row r="93" ht="54.75" customHeight="1" spans="1:12">
      <c r="A93" s="33" t="s">
        <v>5</v>
      </c>
      <c r="B93" s="38" t="s">
        <v>102</v>
      </c>
      <c r="C93" s="33" t="s">
        <v>7</v>
      </c>
      <c r="D93" s="30">
        <v>2822</v>
      </c>
      <c r="E93" s="33" t="s">
        <v>8</v>
      </c>
      <c r="F93" s="30">
        <v>0</v>
      </c>
      <c r="G93" s="33" t="s">
        <v>9</v>
      </c>
      <c r="H93" s="30">
        <v>6</v>
      </c>
      <c r="I93" s="33" t="s">
        <v>10</v>
      </c>
      <c r="J93" s="30">
        <v>14</v>
      </c>
      <c r="K93" s="33" t="s">
        <v>11</v>
      </c>
      <c r="L93" s="36" t="str">
        <f t="shared" si="1"/>
        <v>update `parenting_daily_news_first`  set `pushTitle` ="宝宝频繁挠耳朵，当心急性中耳炎，6个月～2岁高发，附症状识别指南",`updateTime`  = now() WHERE `dnId` =2822and `ageYear`  =0and `ageMonth`  =6and `ageDay`  =14;</v>
      </c>
    </row>
    <row r="94" ht="68.25" customHeight="1" spans="1:12">
      <c r="A94" s="33" t="s">
        <v>5</v>
      </c>
      <c r="B94" s="38" t="s">
        <v>103</v>
      </c>
      <c r="C94" s="33" t="s">
        <v>7</v>
      </c>
      <c r="D94" s="30">
        <v>5953</v>
      </c>
      <c r="E94" s="33" t="s">
        <v>8</v>
      </c>
      <c r="F94" s="30">
        <v>0</v>
      </c>
      <c r="G94" s="33" t="s">
        <v>9</v>
      </c>
      <c r="H94" s="30">
        <v>6</v>
      </c>
      <c r="I94" s="33" t="s">
        <v>10</v>
      </c>
      <c r="J94" s="30">
        <v>17</v>
      </c>
      <c r="K94" s="33" t="s">
        <v>11</v>
      </c>
      <c r="L94" s="36" t="str">
        <f t="shared" si="1"/>
        <v>update `parenting_daily_news_first`  set `pushTitle` ="#baby#加辅食后就要吃油了，芝麻油、核桃油、玉米油、亚麻籽油……哪个更营养？",`updateTime`  = now() WHERE `dnId` =5953and `ageYear`  =0and `ageMonth`  =6and `ageDay`  =17;</v>
      </c>
    </row>
    <row r="95" ht="68.25" customHeight="1" spans="1:12">
      <c r="A95" s="33" t="s">
        <v>5</v>
      </c>
      <c r="B95" s="38" t="s">
        <v>104</v>
      </c>
      <c r="C95" s="33" t="s">
        <v>7</v>
      </c>
      <c r="D95" s="30">
        <v>1132</v>
      </c>
      <c r="E95" s="33" t="s">
        <v>8</v>
      </c>
      <c r="F95" s="30">
        <v>0</v>
      </c>
      <c r="G95" s="33" t="s">
        <v>9</v>
      </c>
      <c r="H95" s="30">
        <v>6</v>
      </c>
      <c r="I95" s="33" t="s">
        <v>10</v>
      </c>
      <c r="J95" s="30">
        <v>18</v>
      </c>
      <c r="K95" s="33" t="s">
        <v>11</v>
      </c>
      <c r="L95" s="36" t="str">
        <f t="shared" si="1"/>
        <v>update `parenting_daily_news_first`  set `pushTitle` ="你买的玩具#baby#喜欢玩吗？其实家里这3样简单东西，比昂贵玩具更能吸引#ta#",`updateTime`  = now() WHERE `dnId` =1132and `ageYear`  =0and `ageMonth`  =6and `ageDay`  =18;</v>
      </c>
    </row>
    <row r="96" ht="54.75" customHeight="1" spans="1:12">
      <c r="A96" s="33" t="s">
        <v>5</v>
      </c>
      <c r="B96" s="38" t="s">
        <v>105</v>
      </c>
      <c r="C96" s="33" t="s">
        <v>7</v>
      </c>
      <c r="D96" s="30">
        <v>5405</v>
      </c>
      <c r="E96" s="33" t="s">
        <v>8</v>
      </c>
      <c r="F96" s="30">
        <v>0</v>
      </c>
      <c r="G96" s="33" t="s">
        <v>9</v>
      </c>
      <c r="H96" s="30">
        <v>6</v>
      </c>
      <c r="I96" s="33" t="s">
        <v>10</v>
      </c>
      <c r="J96" s="30">
        <v>19</v>
      </c>
      <c r="K96" s="33" t="s">
        <v>11</v>
      </c>
      <c r="L96" s="36" t="str">
        <f t="shared" si="1"/>
        <v>update `parenting_daily_news_first`  set `pushTitle` ="断奶以后还有少量乳汁，需要排残奶吗？看完这篇再做决定",`updateTime`  = now() WHERE `dnId` =5405and `ageYear`  =0and `ageMonth`  =6and `ageDay`  =19;</v>
      </c>
    </row>
    <row r="97" ht="68.25" customHeight="1" spans="1:12">
      <c r="A97" s="33" t="s">
        <v>5</v>
      </c>
      <c r="B97" s="38" t="s">
        <v>106</v>
      </c>
      <c r="C97" s="33" t="s">
        <v>7</v>
      </c>
      <c r="D97" s="30">
        <v>58</v>
      </c>
      <c r="E97" s="33" t="s">
        <v>8</v>
      </c>
      <c r="F97" s="30">
        <v>0</v>
      </c>
      <c r="G97" s="33" t="s">
        <v>9</v>
      </c>
      <c r="H97" s="30">
        <v>6</v>
      </c>
      <c r="I97" s="33" t="s">
        <v>10</v>
      </c>
      <c r="J97" s="30">
        <v>20</v>
      </c>
      <c r="K97" s="33" t="s">
        <v>11</v>
      </c>
      <c r="L97" s="36" t="str">
        <f t="shared" si="1"/>
        <v>update `parenting_daily_news_first`  set `pushTitle` ="#baby#多大能吃盐？《中国居民膳食指南》建议：1岁内不吃，1岁后不超过这个量",`updateTime`  = now() WHERE `dnId` =58and `ageYear`  =0and `ageMonth`  =6and `ageDay`  =20;</v>
      </c>
    </row>
    <row r="98" ht="54.75" customHeight="1" spans="1:12">
      <c r="A98" s="33" t="s">
        <v>5</v>
      </c>
      <c r="B98" s="38" t="s">
        <v>107</v>
      </c>
      <c r="C98" s="33" t="s">
        <v>7</v>
      </c>
      <c r="D98" s="30">
        <v>6033</v>
      </c>
      <c r="E98" s="33" t="s">
        <v>8</v>
      </c>
      <c r="F98" s="30">
        <v>0</v>
      </c>
      <c r="G98" s="33" t="s">
        <v>9</v>
      </c>
      <c r="H98" s="30">
        <v>6</v>
      </c>
      <c r="I98" s="33" t="s">
        <v>10</v>
      </c>
      <c r="J98" s="30">
        <v>21</v>
      </c>
      <c r="K98" s="33" t="s">
        <v>11</v>
      </c>
      <c r="L98" s="36" t="str">
        <f t="shared" si="1"/>
        <v>update `parenting_daily_news_first`  set `pushTitle` ="宝宝发烧捂汗退烧快？错，分不清这3个阶段，可能越捂越严重",`updateTime`  = now() WHERE `dnId` =6033and `ageYear`  =0and `ageMonth`  =6and `ageDay`  =21;</v>
      </c>
    </row>
    <row r="99" ht="54.75" customHeight="1" spans="1:12">
      <c r="A99" s="33" t="s">
        <v>5</v>
      </c>
      <c r="B99" s="38" t="s">
        <v>108</v>
      </c>
      <c r="C99" s="33" t="s">
        <v>7</v>
      </c>
      <c r="D99" s="30">
        <v>2662</v>
      </c>
      <c r="E99" s="33" t="s">
        <v>8</v>
      </c>
      <c r="F99" s="30">
        <v>0</v>
      </c>
      <c r="G99" s="33" t="s">
        <v>9</v>
      </c>
      <c r="H99" s="30">
        <v>6</v>
      </c>
      <c r="I99" s="33" t="s">
        <v>10</v>
      </c>
      <c r="J99" s="30">
        <v>27</v>
      </c>
      <c r="K99" s="33" t="s">
        <v>11</v>
      </c>
      <c r="L99" s="36" t="str">
        <f t="shared" si="1"/>
        <v>update `parenting_daily_news_first`  set `pushTitle` ="这几类常见物品，容易导致宝宝窒息，很多家庭都有，赶紧对照检查",`updateTime`  = now() WHERE `dnId` =2662and `ageYear`  =0and `ageMonth`  =6and `ageDay`  =27;</v>
      </c>
    </row>
    <row r="100" ht="68.25" customHeight="1" spans="1:12">
      <c r="A100" s="33" t="s">
        <v>5</v>
      </c>
      <c r="B100" s="38" t="s">
        <v>109</v>
      </c>
      <c r="C100" s="33" t="s">
        <v>7</v>
      </c>
      <c r="D100" s="30">
        <v>6113</v>
      </c>
      <c r="E100" s="33" t="s">
        <v>8</v>
      </c>
      <c r="F100" s="30">
        <v>0</v>
      </c>
      <c r="G100" s="33" t="s">
        <v>9</v>
      </c>
      <c r="H100" s="30">
        <v>6</v>
      </c>
      <c r="I100" s="33" t="s">
        <v>10</v>
      </c>
      <c r="J100" s="30">
        <v>28</v>
      </c>
      <c r="K100" s="33" t="s">
        <v>11</v>
      </c>
      <c r="L100" s="36" t="str">
        <f t="shared" si="1"/>
        <v>update `parenting_daily_news_first`  set `pushTitle` ="#baby#现在开始认妈妈了吗？这只是开始，7个月左右可能变得更黏人，原因在这里",`updateTime`  = now() WHERE `dnId` =6113and `ageYear`  =0and `ageMonth`  =6and `ageDay`  =28;</v>
      </c>
    </row>
    <row r="101" ht="54.75" customHeight="1" spans="1:12">
      <c r="A101" s="33" t="s">
        <v>5</v>
      </c>
      <c r="B101" s="38" t="s">
        <v>110</v>
      </c>
      <c r="C101" s="33" t="s">
        <v>7</v>
      </c>
      <c r="D101" s="30">
        <v>6442</v>
      </c>
      <c r="E101" s="33" t="s">
        <v>8</v>
      </c>
      <c r="F101" s="30">
        <v>0</v>
      </c>
      <c r="G101" s="33" t="s">
        <v>9</v>
      </c>
      <c r="H101" s="30">
        <v>6</v>
      </c>
      <c r="I101" s="33" t="s">
        <v>10</v>
      </c>
      <c r="J101" s="30">
        <v>2</v>
      </c>
      <c r="K101" s="33" t="s">
        <v>11</v>
      </c>
      <c r="L101" s="36" t="str">
        <f t="shared" si="1"/>
        <v>update `parenting_daily_news_first`  set `pushTitle` ="断奶越狠心效果越好？真相可能恰恰相反，这份攻略教你避开常见误区",`updateTime`  = now() WHERE `dnId` =6442and `ageYear`  =0and `ageMonth`  =6and `ageDay`  =2;</v>
      </c>
    </row>
    <row r="102" ht="54.75" customHeight="1" spans="1:12">
      <c r="A102" s="33" t="s">
        <v>5</v>
      </c>
      <c r="B102" s="38" t="s">
        <v>111</v>
      </c>
      <c r="C102" s="33" t="s">
        <v>7</v>
      </c>
      <c r="D102" s="30">
        <v>2426</v>
      </c>
      <c r="E102" s="33" t="s">
        <v>8</v>
      </c>
      <c r="F102" s="30">
        <v>0</v>
      </c>
      <c r="G102" s="33" t="s">
        <v>9</v>
      </c>
      <c r="H102" s="30">
        <v>6</v>
      </c>
      <c r="I102" s="33" t="s">
        <v>10</v>
      </c>
      <c r="J102" s="30">
        <v>6</v>
      </c>
      <c r="K102" s="33" t="s">
        <v>11</v>
      </c>
      <c r="L102" s="36" t="str">
        <f t="shared" si="1"/>
        <v>update `parenting_daily_news_first`  set `pushTitle` ="宝宝有时候不爱喝水？用这4个方法巧妙引导，养成喝水好习惯",`updateTime`  = now() WHERE `dnId` =2426and `ageYear`  =0and `ageMonth`  =6and `ageDay`  =6;</v>
      </c>
    </row>
    <row r="103" ht="54.75" customHeight="1" spans="1:12">
      <c r="A103" s="33" t="s">
        <v>5</v>
      </c>
      <c r="B103" s="38" t="s">
        <v>112</v>
      </c>
      <c r="C103" s="33" t="s">
        <v>7</v>
      </c>
      <c r="D103" s="30">
        <v>5991</v>
      </c>
      <c r="E103" s="33" t="s">
        <v>8</v>
      </c>
      <c r="F103" s="30">
        <v>0</v>
      </c>
      <c r="G103" s="33" t="s">
        <v>9</v>
      </c>
      <c r="H103" s="30">
        <v>6</v>
      </c>
      <c r="I103" s="33" t="s">
        <v>10</v>
      </c>
      <c r="J103" s="30">
        <v>8</v>
      </c>
      <c r="K103" s="33" t="s">
        <v>11</v>
      </c>
      <c r="L103" s="36" t="str">
        <f t="shared" si="1"/>
        <v>update `parenting_daily_news_first`  set `pushTitle` ="宝宝有时看见辅食就闭嘴、扭头？不一定是不爱吃，而是喂的时机没选对",`updateTime`  = now() WHERE `dnId` =5991and `ageYear`  =0and `ageMonth`  =6and `ageDay`  =8;</v>
      </c>
    </row>
    <row r="104" ht="41.25" customHeight="1" spans="1:12">
      <c r="A104" s="33" t="s">
        <v>5</v>
      </c>
      <c r="B104" s="38" t="s">
        <v>113</v>
      </c>
      <c r="C104" s="33" t="s">
        <v>7</v>
      </c>
      <c r="D104" s="30">
        <v>5406</v>
      </c>
      <c r="E104" s="33" t="s">
        <v>8</v>
      </c>
      <c r="F104" s="30">
        <v>0</v>
      </c>
      <c r="G104" s="33" t="s">
        <v>9</v>
      </c>
      <c r="H104" s="30">
        <v>6</v>
      </c>
      <c r="I104" s="33" t="s">
        <v>10</v>
      </c>
      <c r="J104" s="30">
        <v>9</v>
      </c>
      <c r="K104" s="33" t="s">
        <v>11</v>
      </c>
      <c r="L104" s="36" t="str">
        <f t="shared" si="1"/>
        <v>update `parenting_daily_news_first`  set `pushTitle` ="这6类食物最容易让宝宝过敏！尤其第1种，过敏率最高",`updateTime`  = now() WHERE `dnId` =5406and `ageYear`  =0and `ageMonth`  =6and `ageDay`  =9;</v>
      </c>
    </row>
    <row r="105" ht="54.75" customHeight="1" spans="1:12">
      <c r="A105" s="33" t="s">
        <v>5</v>
      </c>
      <c r="B105" s="24" t="s">
        <v>114</v>
      </c>
      <c r="C105" s="33" t="s">
        <v>7</v>
      </c>
      <c r="D105" s="30">
        <v>2610</v>
      </c>
      <c r="E105" s="33" t="s">
        <v>8</v>
      </c>
      <c r="F105" s="30">
        <v>0</v>
      </c>
      <c r="G105" s="33" t="s">
        <v>9</v>
      </c>
      <c r="H105" s="30">
        <v>7</v>
      </c>
      <c r="I105" s="33" t="s">
        <v>10</v>
      </c>
      <c r="J105" s="30">
        <v>14</v>
      </c>
      <c r="K105" s="33" t="s">
        <v>11</v>
      </c>
      <c r="L105" s="36" t="str">
        <f t="shared" si="1"/>
        <v>update `parenting_daily_news_first`  set `pushTitle` ="宝宝7～12个月会爬会站后，家里这6个地方一定要查一遍！",`updateTime`  = now() WHERE `dnId` =2610and `ageYear`  =0and `ageMonth`  =7and `ageDay`  =14;</v>
      </c>
    </row>
    <row r="106" ht="68.25" customHeight="1" spans="1:12">
      <c r="A106" s="33" t="s">
        <v>5</v>
      </c>
      <c r="B106" s="24" t="s">
        <v>115</v>
      </c>
      <c r="C106" s="33" t="s">
        <v>7</v>
      </c>
      <c r="D106" s="30">
        <v>4181</v>
      </c>
      <c r="E106" s="33" t="s">
        <v>8</v>
      </c>
      <c r="F106" s="30">
        <v>0</v>
      </c>
      <c r="G106" s="33" t="s">
        <v>9</v>
      </c>
      <c r="H106" s="30">
        <v>7</v>
      </c>
      <c r="I106" s="33" t="s">
        <v>10</v>
      </c>
      <c r="J106" s="30">
        <v>16</v>
      </c>
      <c r="K106" s="33" t="s">
        <v>11</v>
      </c>
      <c r="L106" s="36" t="str">
        <f t="shared" si="1"/>
        <v>update `parenting_daily_news_first`  set `pushTitle` ="警惕！这些“纯天然”湿疹膏可能含激素，长期用危害宝宝健康，安全有效的就2类",`updateTime`  = now() WHERE `dnId` =4181and `ageYear`  =0and `ageMonth`  =7and `ageDay`  =16;</v>
      </c>
    </row>
    <row r="107" ht="68.25" customHeight="1" spans="1:12">
      <c r="A107" s="33" t="s">
        <v>5</v>
      </c>
      <c r="B107" s="24" t="s">
        <v>116</v>
      </c>
      <c r="C107" s="33" t="s">
        <v>7</v>
      </c>
      <c r="D107" s="30">
        <v>2613</v>
      </c>
      <c r="E107" s="33" t="s">
        <v>8</v>
      </c>
      <c r="F107" s="30">
        <v>0</v>
      </c>
      <c r="G107" s="33" t="s">
        <v>9</v>
      </c>
      <c r="H107" s="30">
        <v>7</v>
      </c>
      <c r="I107" s="33" t="s">
        <v>10</v>
      </c>
      <c r="J107" s="30">
        <v>17</v>
      </c>
      <c r="K107" s="33" t="s">
        <v>11</v>
      </c>
      <c r="L107" s="36" t="str">
        <f t="shared" si="1"/>
        <v>update `parenting_daily_news_first`  set `pushTitle` ="宝宝鼻塞分2种，护理方法完全不同！做对这一步，宝宝通鼻快、少遭罪",`updateTime`  = now() WHERE `dnId` =2613and `ageYear`  =0and `ageMonth`  =7and `ageDay`  =17;</v>
      </c>
    </row>
    <row r="108" ht="68.25" customHeight="1" spans="1:12">
      <c r="A108" s="33" t="s">
        <v>5</v>
      </c>
      <c r="B108" s="24" t="s">
        <v>117</v>
      </c>
      <c r="C108" s="33" t="s">
        <v>7</v>
      </c>
      <c r="D108" s="30">
        <v>2381</v>
      </c>
      <c r="E108" s="33" t="s">
        <v>8</v>
      </c>
      <c r="F108" s="30">
        <v>0</v>
      </c>
      <c r="G108" s="33" t="s">
        <v>9</v>
      </c>
      <c r="H108" s="30">
        <v>7</v>
      </c>
      <c r="I108" s="33" t="s">
        <v>10</v>
      </c>
      <c r="J108" s="30">
        <v>1</v>
      </c>
      <c r="K108" s="33" t="s">
        <v>11</v>
      </c>
      <c r="L108" s="36" t="str">
        <f t="shared" si="1"/>
        <v>update `parenting_daily_news_first`  set `pushTitle` ="7～9个月宝宝有这3个表现吗？语言发育黄金期别错过，这样做#baby#更聪明",`updateTime`  = now() WHERE `dnId` =2381and `ageYear`  =0and `ageMonth`  =7and `ageDay`  =1;</v>
      </c>
    </row>
    <row r="109" ht="54.75" customHeight="1" spans="1:12">
      <c r="A109" s="33" t="s">
        <v>5</v>
      </c>
      <c r="B109" s="24" t="s">
        <v>118</v>
      </c>
      <c r="C109" s="33" t="s">
        <v>7</v>
      </c>
      <c r="D109" s="30">
        <v>6052</v>
      </c>
      <c r="E109" s="33" t="s">
        <v>8</v>
      </c>
      <c r="F109" s="30">
        <v>0</v>
      </c>
      <c r="G109" s="33" t="s">
        <v>9</v>
      </c>
      <c r="H109" s="30">
        <v>7</v>
      </c>
      <c r="I109" s="33" t="s">
        <v>10</v>
      </c>
      <c r="J109" s="30">
        <v>20</v>
      </c>
      <c r="K109" s="33" t="s">
        <v>11</v>
      </c>
      <c r="L109" s="36" t="str">
        <f t="shared" si="1"/>
        <v>update `parenting_daily_news_first`  set `pushTitle` ="宝宝每天喝多少水才够？0～5岁喝水量对照表+选水指南，一篇讲清",`updateTime`  = now() WHERE `dnId` =6052and `ageYear`  =0and `ageMonth`  =7and `ageDay`  =20;</v>
      </c>
    </row>
    <row r="110" ht="54.75" customHeight="1" spans="1:12">
      <c r="A110" s="33" t="s">
        <v>5</v>
      </c>
      <c r="B110" s="24" t="s">
        <v>119</v>
      </c>
      <c r="C110" s="33" t="s">
        <v>7</v>
      </c>
      <c r="D110" s="30">
        <v>4562</v>
      </c>
      <c r="E110" s="33" t="s">
        <v>8</v>
      </c>
      <c r="F110" s="30">
        <v>0</v>
      </c>
      <c r="G110" s="33" t="s">
        <v>9</v>
      </c>
      <c r="H110" s="30">
        <v>7</v>
      </c>
      <c r="I110" s="33" t="s">
        <v>10</v>
      </c>
      <c r="J110" s="30">
        <v>23</v>
      </c>
      <c r="K110" s="33" t="s">
        <v>11</v>
      </c>
      <c r="L110" s="36" t="str">
        <f t="shared" si="1"/>
        <v>update `parenting_daily_news_first`  set `pushTitle` ="宝宝发烧用药💊有禁忌！这两种药安全有效，但千万别交替用，家长必看",`updateTime`  = now() WHERE `dnId` =4562and `ageYear`  =0and `ageMonth`  =7and `ageDay`  =23;</v>
      </c>
    </row>
    <row r="111" ht="54.75" customHeight="1" spans="1:12">
      <c r="A111" s="33" t="s">
        <v>5</v>
      </c>
      <c r="B111" s="24" t="s">
        <v>120</v>
      </c>
      <c r="C111" s="33" t="s">
        <v>7</v>
      </c>
      <c r="D111" s="30">
        <v>2099</v>
      </c>
      <c r="E111" s="33" t="s">
        <v>8</v>
      </c>
      <c r="F111" s="30">
        <v>0</v>
      </c>
      <c r="G111" s="33" t="s">
        <v>9</v>
      </c>
      <c r="H111" s="30">
        <v>7</v>
      </c>
      <c r="I111" s="33" t="s">
        <v>10</v>
      </c>
      <c r="J111" s="30">
        <v>26</v>
      </c>
      <c r="K111" s="33" t="s">
        <v>11</v>
      </c>
      <c r="L111" s="36" t="str">
        <f t="shared" si="1"/>
        <v>update `parenting_daily_news_first`  set `pushTitle` ="宝宝放屁💨是健康信号！这2种屁要留意，可能是消化问题，家长别忽视",`updateTime`  = now() WHERE `dnId` =2099and `ageYear`  =0and `ageMonth`  =7and `ageDay`  =26;</v>
      </c>
    </row>
    <row r="112" ht="54.75" customHeight="1" spans="1:12">
      <c r="A112" s="33" t="s">
        <v>5</v>
      </c>
      <c r="B112" s="24" t="s">
        <v>121</v>
      </c>
      <c r="C112" s="33" t="s">
        <v>7</v>
      </c>
      <c r="D112" s="30">
        <v>6376</v>
      </c>
      <c r="E112" s="33" t="s">
        <v>8</v>
      </c>
      <c r="F112" s="30">
        <v>0</v>
      </c>
      <c r="G112" s="33" t="s">
        <v>9</v>
      </c>
      <c r="H112" s="30">
        <v>7</v>
      </c>
      <c r="I112" s="33" t="s">
        <v>10</v>
      </c>
      <c r="J112" s="30">
        <v>3</v>
      </c>
      <c r="K112" s="33" t="s">
        <v>11</v>
      </c>
      <c r="L112" s="36" t="str">
        <f t="shared" si="1"/>
        <v>update `parenting_daily_news_first`  set `pushTitle` ="0～2岁亲子依恋期，和小婴儿这样互动，宝宝长大少焦虑、更自信",`updateTime`  = now() WHERE `dnId` =6376and `ageYear`  =0and `ageMonth`  =7and `ageDay`  =3;</v>
      </c>
    </row>
    <row r="113" ht="54.75" customHeight="1" spans="1:12">
      <c r="A113" s="33" t="s">
        <v>5</v>
      </c>
      <c r="B113" s="24" t="s">
        <v>122</v>
      </c>
      <c r="C113" s="33" t="s">
        <v>7</v>
      </c>
      <c r="D113" s="30">
        <v>5962</v>
      </c>
      <c r="E113" s="33" t="s">
        <v>8</v>
      </c>
      <c r="F113" s="30">
        <v>0</v>
      </c>
      <c r="G113" s="33" t="s">
        <v>9</v>
      </c>
      <c r="H113" s="30">
        <v>7</v>
      </c>
      <c r="I113" s="33" t="s">
        <v>10</v>
      </c>
      <c r="J113" s="30">
        <v>4</v>
      </c>
      <c r="K113" s="33" t="s">
        <v>11</v>
      </c>
      <c r="L113" s="36" t="str">
        <f t="shared" si="1"/>
        <v>update `parenting_daily_news_first`  set `pushTitle` ="#baby#长牙🦷后，一件小事能避免大问题，你做了吗？",`updateTime`  = now() WHERE `dnId` =5962and `ageYear`  =0and `ageMonth`  =7and `ageDay`  =4;</v>
      </c>
    </row>
    <row r="114" ht="54.75" customHeight="1" spans="1:12">
      <c r="A114" s="33" t="s">
        <v>5</v>
      </c>
      <c r="B114" s="24" t="s">
        <v>123</v>
      </c>
      <c r="C114" s="33" t="s">
        <v>7</v>
      </c>
      <c r="D114" s="30">
        <v>2106</v>
      </c>
      <c r="E114" s="33" t="s">
        <v>8</v>
      </c>
      <c r="F114" s="30">
        <v>0</v>
      </c>
      <c r="G114" s="33" t="s">
        <v>9</v>
      </c>
      <c r="H114" s="30">
        <v>7</v>
      </c>
      <c r="I114" s="33" t="s">
        <v>10</v>
      </c>
      <c r="J114" s="30">
        <v>5</v>
      </c>
      <c r="K114" s="33" t="s">
        <v>11</v>
      </c>
      <c r="L114" s="36" t="str">
        <f t="shared" si="1"/>
        <v>update `parenting_daily_news_first`  set `pushTitle` ="6个月～2岁是宝宝腹泻高发期！这5种情况最易反复，附护理避坑指南​",`updateTime`  = now() WHERE `dnId` =2106and `ageYear`  =0and `ageMonth`  =7and `ageDay`  =5;</v>
      </c>
    </row>
    <row r="115" ht="54.75" customHeight="1" spans="1:12">
      <c r="A115" s="33" t="s">
        <v>5</v>
      </c>
      <c r="B115" s="24" t="s">
        <v>124</v>
      </c>
      <c r="C115" s="33" t="s">
        <v>7</v>
      </c>
      <c r="D115" s="30">
        <v>4558</v>
      </c>
      <c r="E115" s="33" t="s">
        <v>8</v>
      </c>
      <c r="F115" s="30">
        <v>0</v>
      </c>
      <c r="G115" s="33" t="s">
        <v>9</v>
      </c>
      <c r="H115" s="30">
        <v>7</v>
      </c>
      <c r="I115" s="33" t="s">
        <v>10</v>
      </c>
      <c r="J115" s="30">
        <v>6</v>
      </c>
      <c r="K115" s="33" t="s">
        <v>11</v>
      </c>
      <c r="L115" s="36" t="str">
        <f t="shared" si="1"/>
        <v>update `parenting_daily_news_first`  set `pushTitle` ="宝宝水果每天吃多少、吃哪些最好？对照表告诉你7月龄宝宝的正确量",`updateTime`  = now() WHERE `dnId` =4558and `ageYear`  =0and `ageMonth`  =7and `ageDay`  =6;</v>
      </c>
    </row>
    <row r="116" ht="54.75" customHeight="1" spans="1:12">
      <c r="A116" s="33" t="s">
        <v>5</v>
      </c>
      <c r="B116" s="24" t="s">
        <v>125</v>
      </c>
      <c r="C116" s="33" t="s">
        <v>7</v>
      </c>
      <c r="D116" s="30">
        <v>6337</v>
      </c>
      <c r="E116" s="33" t="s">
        <v>8</v>
      </c>
      <c r="F116" s="30">
        <v>0</v>
      </c>
      <c r="G116" s="33" t="s">
        <v>9</v>
      </c>
      <c r="H116" s="30">
        <v>7</v>
      </c>
      <c r="I116" s="33" t="s">
        <v>10</v>
      </c>
      <c r="J116" s="30">
        <v>8</v>
      </c>
      <c r="K116" s="33" t="s">
        <v>11</v>
      </c>
      <c r="L116" s="36" t="str">
        <f t="shared" si="1"/>
        <v>update `parenting_daily_news_first`  set `pushTitle` ="宝宝突然超黏你、哭闹不断？原因竟是认知能力升级，这2招帮#ta#安心",`updateTime`  = now() WHERE `dnId` =6337and `ageYear`  =0and `ageMonth`  =7and `ageDay`  =8;</v>
      </c>
    </row>
    <row r="117" ht="41.25" customHeight="1" spans="1:12">
      <c r="A117" s="33" t="s">
        <v>5</v>
      </c>
      <c r="B117" s="24" t="s">
        <v>126</v>
      </c>
      <c r="C117" s="33" t="s">
        <v>7</v>
      </c>
      <c r="D117" s="30">
        <v>6148</v>
      </c>
      <c r="E117" s="33" t="s">
        <v>8</v>
      </c>
      <c r="F117" s="30">
        <v>0</v>
      </c>
      <c r="G117" s="33" t="s">
        <v>9</v>
      </c>
      <c r="H117" s="30">
        <v>7</v>
      </c>
      <c r="I117" s="33" t="s">
        <v>10</v>
      </c>
      <c r="J117" s="30">
        <v>9</v>
      </c>
      <c r="K117" s="33" t="s">
        <v>11</v>
      </c>
      <c r="L117" s="36" t="str">
        <f t="shared" si="1"/>
        <v>update `parenting_daily_news_first`  set `pushTitle` ="辅食加错顺序，反而容易过敏？最新研究帮你避坑",`updateTime`  = now() WHERE `dnId` =6148and `ageYear`  =0and `ageMonth`  =7and `ageDay`  =9;</v>
      </c>
    </row>
    <row r="118" ht="54.75" customHeight="1" spans="1:12">
      <c r="A118" s="33" t="s">
        <v>5</v>
      </c>
      <c r="B118" s="24" t="s">
        <v>127</v>
      </c>
      <c r="C118" s="33" t="s">
        <v>7</v>
      </c>
      <c r="D118" s="30">
        <v>6204</v>
      </c>
      <c r="E118" s="33" t="s">
        <v>8</v>
      </c>
      <c r="F118" s="30">
        <v>0</v>
      </c>
      <c r="G118" s="33" t="s">
        <v>9</v>
      </c>
      <c r="H118" s="33">
        <v>8</v>
      </c>
      <c r="I118" s="33" t="s">
        <v>10</v>
      </c>
      <c r="J118" s="30">
        <v>14</v>
      </c>
      <c r="K118" s="33" t="s">
        <v>11</v>
      </c>
      <c r="L118" s="36" t="str">
        <f t="shared" si="1"/>
        <v>update `parenting_daily_news_first`  set `pushTitle` ="不想追着喂饭？现在培养宝宝吃饭习惯，记住这4个关键点",`updateTime`  = now() WHERE `dnId` =6204and `ageYear`  =0and `ageMonth`  =8and `ageDay`  =14;</v>
      </c>
    </row>
    <row r="119" ht="68.25" customHeight="1" spans="1:12">
      <c r="A119" s="33" t="s">
        <v>5</v>
      </c>
      <c r="B119" s="24" t="s">
        <v>128</v>
      </c>
      <c r="C119" s="33" t="s">
        <v>7</v>
      </c>
      <c r="D119" s="30">
        <v>6044</v>
      </c>
      <c r="E119" s="33" t="s">
        <v>8</v>
      </c>
      <c r="F119" s="30">
        <v>0</v>
      </c>
      <c r="G119" s="33" t="s">
        <v>9</v>
      </c>
      <c r="H119" s="33">
        <v>8</v>
      </c>
      <c r="I119" s="33" t="s">
        <v>10</v>
      </c>
      <c r="J119" s="30">
        <v>15</v>
      </c>
      <c r="K119" s="33" t="s">
        <v>11</v>
      </c>
      <c r="L119" s="36" t="str">
        <f t="shared" si="1"/>
        <v>update `parenting_daily_news_first`  set `pushTitle` ="宝宝一咳嗽就雾化？小心滥用伤身！这些情况才需要，附注意事项清单",`updateTime`  = now() WHERE `dnId` =6044and `ageYear`  =0and `ageMonth`  =8and `ageDay`  =15;</v>
      </c>
    </row>
    <row r="120" ht="41.25" customHeight="1" spans="1:12">
      <c r="A120" s="33" t="s">
        <v>5</v>
      </c>
      <c r="B120" s="24" t="s">
        <v>129</v>
      </c>
      <c r="C120" s="33" t="s">
        <v>7</v>
      </c>
      <c r="D120" s="30">
        <v>6197</v>
      </c>
      <c r="E120" s="33" t="s">
        <v>8</v>
      </c>
      <c r="F120" s="30">
        <v>0</v>
      </c>
      <c r="G120" s="33" t="s">
        <v>9</v>
      </c>
      <c r="H120" s="33">
        <v>8</v>
      </c>
      <c r="I120" s="33" t="s">
        <v>10</v>
      </c>
      <c r="J120" s="30">
        <v>16</v>
      </c>
      <c r="K120" s="33" t="s">
        <v>11</v>
      </c>
      <c r="L120" s="36" t="str">
        <f t="shared" si="1"/>
        <v>update `parenting_daily_news_first`  set `pushTitle` ="想让宝宝自主吃饭？8～12个月这一件小事很关键",`updateTime`  = now() WHERE `dnId` =6197and `ageYear`  =0and `ageMonth`  =8and `ageDay`  =16;</v>
      </c>
    </row>
    <row r="121" ht="54.75" customHeight="1" spans="1:12">
      <c r="A121" s="33" t="s">
        <v>5</v>
      </c>
      <c r="B121" s="24" t="s">
        <v>130</v>
      </c>
      <c r="C121" s="33" t="s">
        <v>7</v>
      </c>
      <c r="D121" s="30">
        <v>1175</v>
      </c>
      <c r="E121" s="33" t="s">
        <v>8</v>
      </c>
      <c r="F121" s="30">
        <v>0</v>
      </c>
      <c r="G121" s="33" t="s">
        <v>9</v>
      </c>
      <c r="H121" s="33">
        <v>8</v>
      </c>
      <c r="I121" s="33" t="s">
        <v>10</v>
      </c>
      <c r="J121" s="30">
        <v>18</v>
      </c>
      <c r="K121" s="33" t="s">
        <v>11</v>
      </c>
      <c r="L121" s="36" t="str">
        <f t="shared" si="1"/>
        <v>update `parenting_daily_news_first`  set `pushTitle` ="宝宝第一颗牙🦷啥时长？在这期间都正常，但这一种情况需就医",`updateTime`  = now() WHERE `dnId` =1175and `ageYear`  =0and `ageMonth`  =8and `ageDay`  =18;</v>
      </c>
    </row>
    <row r="122" ht="54.75" customHeight="1" spans="1:12">
      <c r="A122" s="33" t="s">
        <v>5</v>
      </c>
      <c r="B122" s="24" t="s">
        <v>131</v>
      </c>
      <c r="C122" s="33" t="s">
        <v>7</v>
      </c>
      <c r="D122" s="30">
        <v>4104</v>
      </c>
      <c r="E122" s="33" t="s">
        <v>8</v>
      </c>
      <c r="F122" s="30">
        <v>0</v>
      </c>
      <c r="G122" s="33" t="s">
        <v>9</v>
      </c>
      <c r="H122" s="33">
        <v>8</v>
      </c>
      <c r="I122" s="33" t="s">
        <v>10</v>
      </c>
      <c r="J122" s="30">
        <v>1</v>
      </c>
      <c r="K122" s="33" t="s">
        <v>11</v>
      </c>
      <c r="L122" s="36" t="str">
        <f t="shared" si="1"/>
        <v>update `parenting_daily_news_first`  set `pushTitle` ="产后瘦身早做vs晚做，差别太大了！黄金期这样减，高效不反弹",`updateTime`  = now() WHERE `dnId` =4104and `ageYear`  =0and `ageMonth`  =8and `ageDay`  =1;</v>
      </c>
    </row>
    <row r="123" ht="54.75" customHeight="1" spans="1:12">
      <c r="A123" s="33" t="s">
        <v>5</v>
      </c>
      <c r="B123" s="24" t="s">
        <v>132</v>
      </c>
      <c r="C123" s="33" t="s">
        <v>7</v>
      </c>
      <c r="D123" s="30">
        <v>2102</v>
      </c>
      <c r="E123" s="33" t="s">
        <v>8</v>
      </c>
      <c r="F123" s="30">
        <v>0</v>
      </c>
      <c r="G123" s="33" t="s">
        <v>9</v>
      </c>
      <c r="H123" s="33">
        <v>8</v>
      </c>
      <c r="I123" s="33" t="s">
        <v>10</v>
      </c>
      <c r="J123" s="30">
        <v>20</v>
      </c>
      <c r="K123" s="33" t="s">
        <v>11</v>
      </c>
      <c r="L123" s="36" t="str">
        <f t="shared" si="1"/>
        <v>update `parenting_daily_news_first`  set `pushTitle` ="宝宝便便有黏液正常吗？这种情况不用管，但2种需就医，家长快对照",`updateTime`  = now() WHERE `dnId` =2102and `ageYear`  =0and `ageMonth`  =8and `ageDay`  =20;</v>
      </c>
    </row>
    <row r="124" ht="54.75" customHeight="1" spans="1:12">
      <c r="A124" s="33" t="s">
        <v>5</v>
      </c>
      <c r="B124" s="24" t="s">
        <v>133</v>
      </c>
      <c r="C124" s="33" t="s">
        <v>7</v>
      </c>
      <c r="D124" s="30">
        <v>210</v>
      </c>
      <c r="E124" s="33" t="s">
        <v>8</v>
      </c>
      <c r="F124" s="30">
        <v>0</v>
      </c>
      <c r="G124" s="33" t="s">
        <v>9</v>
      </c>
      <c r="H124" s="33">
        <v>8</v>
      </c>
      <c r="I124" s="33" t="s">
        <v>10</v>
      </c>
      <c r="J124" s="30">
        <v>21</v>
      </c>
      <c r="K124" s="33" t="s">
        <v>11</v>
      </c>
      <c r="L124" s="36" t="str">
        <f t="shared" si="1"/>
        <v>update `parenting_daily_news_first`  set `pushTitle` ="想让宝宝少生病？别信这些“免疫力神器”！做好这5点才管用",`updateTime`  = now() WHERE `dnId` =210and `ageYear`  =0and `ageMonth`  =8and `ageDay`  =21;</v>
      </c>
    </row>
    <row r="125" ht="54.75" customHeight="1" spans="1:12">
      <c r="A125" s="33" t="s">
        <v>5</v>
      </c>
      <c r="B125" s="24" t="s">
        <v>134</v>
      </c>
      <c r="C125" s="33" t="s">
        <v>7</v>
      </c>
      <c r="D125" s="30">
        <v>6469</v>
      </c>
      <c r="E125" s="33" t="s">
        <v>8</v>
      </c>
      <c r="F125" s="30">
        <v>0</v>
      </c>
      <c r="G125" s="33" t="s">
        <v>9</v>
      </c>
      <c r="H125" s="33">
        <v>8</v>
      </c>
      <c r="I125" s="33" t="s">
        <v>10</v>
      </c>
      <c r="J125" s="30">
        <v>23</v>
      </c>
      <c r="K125" s="33" t="s">
        <v>11</v>
      </c>
      <c r="L125" s="36" t="str">
        <f t="shared" si="1"/>
        <v>update `parenting_daily_news_first`  set `pushTitle` ="#baby#出现这些信号说明想自己吃饭！抓住黄金期，养出爱吃饭的宝宝",`updateTime`  = now() WHERE `dnId` =6469and `ageYear`  =0and `ageMonth`  =8and `ageDay`  =23;</v>
      </c>
    </row>
    <row r="126" ht="54.75" customHeight="1" spans="1:12">
      <c r="A126" s="33" t="s">
        <v>5</v>
      </c>
      <c r="B126" s="24" t="s">
        <v>135</v>
      </c>
      <c r="C126" s="33" t="s">
        <v>7</v>
      </c>
      <c r="D126" s="30">
        <v>5949</v>
      </c>
      <c r="E126" s="33" t="s">
        <v>8</v>
      </c>
      <c r="F126" s="30">
        <v>0</v>
      </c>
      <c r="G126" s="33" t="s">
        <v>9</v>
      </c>
      <c r="H126" s="33">
        <v>8</v>
      </c>
      <c r="I126" s="33" t="s">
        <v>10</v>
      </c>
      <c r="J126" s="30">
        <v>26</v>
      </c>
      <c r="K126" s="33" t="s">
        <v>11</v>
      </c>
      <c r="L126" s="36" t="str">
        <f t="shared" si="1"/>
        <v>update `parenting_daily_news_first`  set `pushTitle` ="这种谷物膳食纤维是米饭26倍！营养秒杀小米糙米，宝宝辅食别错过",`updateTime`  = now() WHERE `dnId` =5949and `ageYear`  =0and `ageMonth`  =8and `ageDay`  =26;</v>
      </c>
    </row>
    <row r="127" ht="54.75" customHeight="1" spans="1:12">
      <c r="A127" s="33" t="s">
        <v>5</v>
      </c>
      <c r="B127" s="24" t="s">
        <v>136</v>
      </c>
      <c r="C127" s="33" t="s">
        <v>7</v>
      </c>
      <c r="D127" s="30">
        <v>2476</v>
      </c>
      <c r="E127" s="33" t="s">
        <v>8</v>
      </c>
      <c r="F127" s="30">
        <v>0</v>
      </c>
      <c r="G127" s="33" t="s">
        <v>9</v>
      </c>
      <c r="H127" s="33">
        <v>8</v>
      </c>
      <c r="I127" s="33" t="s">
        <v>10</v>
      </c>
      <c r="J127" s="30">
        <v>27</v>
      </c>
      <c r="K127" s="33" t="s">
        <v>11</v>
      </c>
      <c r="L127" s="36" t="str">
        <f t="shared" si="1"/>
        <v>update `parenting_daily_news_first`  set `pushTitle` ="宝宝听力损伤不可逆！家里这些常见物品音量要控制，附安全分贝指南",`updateTime`  = now() WHERE `dnId` =2476and `ageYear`  =0and `ageMonth`  =8and `ageDay`  =27;</v>
      </c>
    </row>
    <row r="128" ht="54.75" customHeight="1" spans="1:12">
      <c r="A128" s="33" t="s">
        <v>5</v>
      </c>
      <c r="B128" s="24" t="s">
        <v>137</v>
      </c>
      <c r="C128" s="33" t="s">
        <v>7</v>
      </c>
      <c r="D128" s="30">
        <v>4051</v>
      </c>
      <c r="E128" s="33" t="s">
        <v>8</v>
      </c>
      <c r="F128" s="30">
        <v>0</v>
      </c>
      <c r="G128" s="33" t="s">
        <v>9</v>
      </c>
      <c r="H128" s="33">
        <v>8</v>
      </c>
      <c r="I128" s="33" t="s">
        <v>10</v>
      </c>
      <c r="J128" s="30">
        <v>28</v>
      </c>
      <c r="K128" s="33" t="s">
        <v>11</v>
      </c>
      <c r="L128" s="36" t="str">
        <f t="shared" si="1"/>
        <v>update `parenting_daily_news_first`  set `pushTitle` ="6类抗生素孩子慎用！副作用明显可致耳聋，这份黑名单快收藏好",`updateTime`  = now() WHERE `dnId` =4051and `ageYear`  =0and `ageMonth`  =8and `ageDay`  =28;</v>
      </c>
    </row>
    <row r="129" ht="54.75" customHeight="1" spans="1:12">
      <c r="A129" s="33" t="s">
        <v>5</v>
      </c>
      <c r="B129" s="24" t="s">
        <v>138</v>
      </c>
      <c r="C129" s="33" t="s">
        <v>7</v>
      </c>
      <c r="D129" s="30">
        <v>6127</v>
      </c>
      <c r="E129" s="33" t="s">
        <v>8</v>
      </c>
      <c r="F129" s="30">
        <v>0</v>
      </c>
      <c r="G129" s="33" t="s">
        <v>9</v>
      </c>
      <c r="H129" s="33">
        <v>8</v>
      </c>
      <c r="I129" s="33" t="s">
        <v>10</v>
      </c>
      <c r="J129" s="30">
        <v>3</v>
      </c>
      <c r="K129" s="33" t="s">
        <v>11</v>
      </c>
      <c r="L129" s="36" t="str">
        <f t="shared" si="1"/>
        <v>update `parenting_daily_news_first`  set `pushTitle` ="宝宝黏人≠缺安全感！恭喜，这是他爱你的表现，做好2件事轻松度过",`updateTime`  = now() WHERE `dnId` =6127and `ageYear`  =0and `ageMonth`  =8and `ageDay`  =3;</v>
      </c>
    </row>
    <row r="130" ht="54.75" customHeight="1" spans="1:12">
      <c r="A130" s="33" t="s">
        <v>5</v>
      </c>
      <c r="B130" s="24" t="s">
        <v>139</v>
      </c>
      <c r="C130" s="33" t="s">
        <v>7</v>
      </c>
      <c r="D130" s="30">
        <v>2938</v>
      </c>
      <c r="E130" s="33" t="s">
        <v>8</v>
      </c>
      <c r="F130" s="30">
        <v>0</v>
      </c>
      <c r="G130" s="33" t="s">
        <v>9</v>
      </c>
      <c r="H130" s="33">
        <v>8</v>
      </c>
      <c r="I130" s="33" t="s">
        <v>10</v>
      </c>
      <c r="J130" s="30">
        <v>5</v>
      </c>
      <c r="K130" s="33" t="s">
        <v>11</v>
      </c>
      <c r="L130" s="36" t="str">
        <f t="shared" ref="L130:L193" si="2">A130&amp;B130&amp;C130&amp;D130&amp;E130&amp;F130&amp;G130&amp;H130&amp;I130&amp;J130&amp;K130</f>
        <v>update `parenting_daily_news_first`  set `pushTitle` ="疫苗后7～10天出疹子？可能是正常反应！但这些情况需立即就医🏥",`updateTime`  = now() WHERE `dnId` =2938and `ageYear`  =0and `ageMonth`  =8and `ageDay`  =5;</v>
      </c>
    </row>
    <row r="131" ht="54.75" customHeight="1" spans="1:12">
      <c r="A131" s="33" t="s">
        <v>5</v>
      </c>
      <c r="B131" s="24" t="s">
        <v>140</v>
      </c>
      <c r="C131" s="33" t="s">
        <v>7</v>
      </c>
      <c r="D131" s="30">
        <v>5927</v>
      </c>
      <c r="E131" s="33" t="s">
        <v>8</v>
      </c>
      <c r="F131" s="30">
        <v>0</v>
      </c>
      <c r="G131" s="33" t="s">
        <v>9</v>
      </c>
      <c r="H131" s="33">
        <v>8</v>
      </c>
      <c r="I131" s="33" t="s">
        <v>10</v>
      </c>
      <c r="J131" s="30">
        <v>6</v>
      </c>
      <c r="K131" s="33" t="s">
        <v>11</v>
      </c>
      <c r="L131" s="36" t="str">
        <f t="shared" si="2"/>
        <v>update `parenting_daily_news_first`  set `pushTitle` ="1颗胚芽米=108颗普通大米”？真相来了！这样吃性价比更高，营养不输",`updateTime`  = now() WHERE `dnId` =5927and `ageYear`  =0and `ageMonth`  =8and `ageDay`  =6;</v>
      </c>
    </row>
    <row r="132" ht="68.25" customHeight="1" spans="1:12">
      <c r="A132" s="33" t="s">
        <v>5</v>
      </c>
      <c r="B132" s="24" t="s">
        <v>141</v>
      </c>
      <c r="C132" s="33" t="s">
        <v>7</v>
      </c>
      <c r="D132" s="30">
        <v>6018</v>
      </c>
      <c r="E132" s="33" t="s">
        <v>8</v>
      </c>
      <c r="F132" s="30">
        <v>0</v>
      </c>
      <c r="G132" s="33" t="s">
        <v>9</v>
      </c>
      <c r="H132" s="33">
        <v>8</v>
      </c>
      <c r="I132" s="33" t="s">
        <v>10</v>
      </c>
      <c r="J132" s="30">
        <v>7</v>
      </c>
      <c r="K132" s="33" t="s">
        <v>11</v>
      </c>
      <c r="L132" s="36" t="str">
        <f t="shared" si="2"/>
        <v>update `parenting_daily_news_first`  set `pushTitle` ="补DHA别只盯三文鱼！这几种淡水鱼含量高，还便宜好买，宝宝补脑别错过",`updateTime`  = now() WHERE `dnId` =6018and `ageYear`  =0and `ageMonth`  =8and `ageDay`  =7;</v>
      </c>
    </row>
    <row r="133" ht="68.25" customHeight="1" spans="1:12">
      <c r="A133" s="33" t="s">
        <v>5</v>
      </c>
      <c r="B133" s="24" t="s">
        <v>142</v>
      </c>
      <c r="C133" s="33" t="s">
        <v>7</v>
      </c>
      <c r="D133" s="30">
        <v>6181</v>
      </c>
      <c r="E133" s="33" t="s">
        <v>8</v>
      </c>
      <c r="F133" s="30">
        <v>0</v>
      </c>
      <c r="G133" s="33" t="s">
        <v>9</v>
      </c>
      <c r="H133" s="33">
        <v>8</v>
      </c>
      <c r="I133" s="33" t="s">
        <v>10</v>
      </c>
      <c r="J133" s="30">
        <v>8</v>
      </c>
      <c r="K133" s="33" t="s">
        <v>11</v>
      </c>
      <c r="L133" s="36" t="str">
        <f t="shared" si="2"/>
        <v>update `parenting_daily_news_first`  set `pushTitle` ="给#baby#加餐怕影响正餐？记住这3类食物，营养足不占肚子，宝宝更健康",`updateTime`  = now() WHERE `dnId` =6181and `ageYear`  =0and `ageMonth`  =8and `ageDay`  =8;</v>
      </c>
    </row>
    <row r="134" ht="54.75" customHeight="1" spans="1:12">
      <c r="A134" s="33" t="s">
        <v>5</v>
      </c>
      <c r="B134" s="24" t="s">
        <v>143</v>
      </c>
      <c r="C134" s="33" t="s">
        <v>7</v>
      </c>
      <c r="D134" s="30">
        <v>6202</v>
      </c>
      <c r="E134" s="33" t="s">
        <v>8</v>
      </c>
      <c r="F134" s="30">
        <v>0</v>
      </c>
      <c r="G134" s="33" t="s">
        <v>9</v>
      </c>
      <c r="H134" s="30">
        <v>9</v>
      </c>
      <c r="I134" s="33" t="s">
        <v>10</v>
      </c>
      <c r="J134" s="30">
        <v>11</v>
      </c>
      <c r="K134" s="33" t="s">
        <v>11</v>
      </c>
      <c r="L134" s="36" t="str">
        <f t="shared" si="2"/>
        <v>update `parenting_daily_news_first`  set `pushTitle` ="饭桌是最好的早教！每天抽出1顿饭这样做，宝宝吃饭香、学规矩快",`updateTime`  = now() WHERE `dnId` =6202and `ageYear`  =0and `ageMonth`  =9and `ageDay`  =11;</v>
      </c>
    </row>
    <row r="135" ht="54.75" customHeight="1" spans="1:12">
      <c r="A135" s="33" t="s">
        <v>5</v>
      </c>
      <c r="B135" s="24" t="s">
        <v>144</v>
      </c>
      <c r="C135" s="33" t="s">
        <v>7</v>
      </c>
      <c r="D135" s="30">
        <v>2079</v>
      </c>
      <c r="E135" s="33" t="s">
        <v>8</v>
      </c>
      <c r="F135" s="30">
        <v>0</v>
      </c>
      <c r="G135" s="33" t="s">
        <v>9</v>
      </c>
      <c r="H135" s="30">
        <v>9</v>
      </c>
      <c r="I135" s="33" t="s">
        <v>10</v>
      </c>
      <c r="J135" s="30">
        <v>18</v>
      </c>
      <c r="K135" s="33" t="s">
        <v>11</v>
      </c>
      <c r="L135" s="36" t="str">
        <f t="shared" si="2"/>
        <v>update `parenting_daily_news_first`  set `pushTitle` ="给宝宝买保险前，先看这篇！避开常见套路，不花一分冤枉钱",`updateTime`  = now() WHERE `dnId` =2079and `ageYear`  =0and `ageMonth`  =9and `ageDay`  =18;</v>
      </c>
    </row>
    <row r="136" ht="54.75" customHeight="1" spans="1:12">
      <c r="A136" s="33" t="s">
        <v>5</v>
      </c>
      <c r="B136" s="24" t="s">
        <v>145</v>
      </c>
      <c r="C136" s="33" t="s">
        <v>7</v>
      </c>
      <c r="D136" s="30">
        <v>238</v>
      </c>
      <c r="E136" s="33" t="s">
        <v>8</v>
      </c>
      <c r="F136" s="30">
        <v>0</v>
      </c>
      <c r="G136" s="33" t="s">
        <v>9</v>
      </c>
      <c r="H136" s="30">
        <v>9</v>
      </c>
      <c r="I136" s="33" t="s">
        <v>10</v>
      </c>
      <c r="J136" s="30">
        <v>21</v>
      </c>
      <c r="K136" s="33" t="s">
        <v>11</v>
      </c>
      <c r="L136" s="36" t="str">
        <f t="shared" si="2"/>
        <v>update `parenting_daily_news_first`  set `pushTitle` ="医生提醒：宝宝咳嗽别急着吃药！5个靠谱护理法，好得快少遭罪",`updateTime`  = now() WHERE `dnId` =238and `ageYear`  =0and `ageMonth`  =9and `ageDay`  =21;</v>
      </c>
    </row>
    <row r="137" ht="41.25" customHeight="1" spans="1:12">
      <c r="A137" s="33" t="s">
        <v>5</v>
      </c>
      <c r="B137" s="24" t="s">
        <v>146</v>
      </c>
      <c r="C137" s="33" t="s">
        <v>7</v>
      </c>
      <c r="D137" s="30">
        <v>2289</v>
      </c>
      <c r="E137" s="33" t="s">
        <v>8</v>
      </c>
      <c r="F137" s="30">
        <v>0</v>
      </c>
      <c r="G137" s="33" t="s">
        <v>9</v>
      </c>
      <c r="H137" s="30">
        <v>9</v>
      </c>
      <c r="I137" s="33" t="s">
        <v>10</v>
      </c>
      <c r="J137" s="30">
        <v>26</v>
      </c>
      <c r="K137" s="33" t="s">
        <v>11</v>
      </c>
      <c r="L137" s="36" t="str">
        <f t="shared" si="2"/>
        <v>update `parenting_daily_news_first`  set `pushTitle` ="宝宝好动≠难带，太安静≠省心，两种性格带法大不同",`updateTime`  = now() WHERE `dnId` =2289and `ageYear`  =0and `ageMonth`  =9and `ageDay`  =26;</v>
      </c>
    </row>
    <row r="138" ht="41.25" customHeight="1" spans="1:12">
      <c r="A138" s="33" t="s">
        <v>5</v>
      </c>
      <c r="B138" s="24" t="s">
        <v>147</v>
      </c>
      <c r="C138" s="33" t="s">
        <v>7</v>
      </c>
      <c r="D138" s="30">
        <v>4041</v>
      </c>
      <c r="E138" s="33" t="s">
        <v>8</v>
      </c>
      <c r="F138" s="30">
        <v>0</v>
      </c>
      <c r="G138" s="33" t="s">
        <v>9</v>
      </c>
      <c r="H138" s="30">
        <v>9</v>
      </c>
      <c r="I138" s="33" t="s">
        <v>10</v>
      </c>
      <c r="J138" s="30">
        <v>27</v>
      </c>
      <c r="K138" s="33" t="s">
        <v>11</v>
      </c>
      <c r="L138" s="36" t="str">
        <f t="shared" si="2"/>
        <v>update `parenting_daily_news_first`  set `pushTitle` ="宝宝湿疹别乱用药！正确用法分强弱效，用量有讲究",`updateTime`  = now() WHERE `dnId` =4041and `ageYear`  =0and `ageMonth`  =9and `ageDay`  =27;</v>
      </c>
    </row>
    <row r="139" ht="68.25" customHeight="1" spans="1:12">
      <c r="A139" s="33" t="s">
        <v>5</v>
      </c>
      <c r="B139" s="24" t="s">
        <v>148</v>
      </c>
      <c r="C139" s="33" t="s">
        <v>7</v>
      </c>
      <c r="D139" s="30">
        <v>6057</v>
      </c>
      <c r="E139" s="33" t="s">
        <v>8</v>
      </c>
      <c r="F139" s="30">
        <v>0</v>
      </c>
      <c r="G139" s="33" t="s">
        <v>9</v>
      </c>
      <c r="H139" s="30">
        <v>9</v>
      </c>
      <c r="I139" s="33" t="s">
        <v>10</v>
      </c>
      <c r="J139" s="30">
        <v>28</v>
      </c>
      <c r="K139" s="33" t="s">
        <v>11</v>
      </c>
      <c r="L139" s="36" t="str">
        <f t="shared" si="2"/>
        <v>update `parenting_daily_news_first`  set `pushTitle` ="看见宝宝摸私处，你的反应对吗？制止可能更糟，这样做保护好奇心和安全感",`updateTime`  = now() WHERE `dnId` =6057and `ageYear`  =0and `ageMonth`  =9and `ageDay`  =28;</v>
      </c>
    </row>
    <row r="140" ht="68.25" customHeight="1" spans="1:12">
      <c r="A140" s="33" t="s">
        <v>5</v>
      </c>
      <c r="B140" s="24" t="s">
        <v>149</v>
      </c>
      <c r="C140" s="33" t="s">
        <v>7</v>
      </c>
      <c r="D140" s="30">
        <v>4182</v>
      </c>
      <c r="E140" s="33" t="s">
        <v>8</v>
      </c>
      <c r="F140" s="30">
        <v>0</v>
      </c>
      <c r="G140" s="33" t="s">
        <v>9</v>
      </c>
      <c r="H140" s="30">
        <v>9</v>
      </c>
      <c r="I140" s="33" t="s">
        <v>10</v>
      </c>
      <c r="J140" s="30">
        <v>2</v>
      </c>
      <c r="K140" s="33" t="s">
        <v>11</v>
      </c>
      <c r="L140" s="36" t="str">
        <f t="shared" si="2"/>
        <v>update `parenting_daily_news_first`  set `pushTitle` ="带娃坐高铁🚄，免票条件、证件要求、换尿布全攻略！提前看这篇，避免手忙脚乱",`updateTime`  = now() WHERE `dnId` =4182and `ageYear`  =0and `ageMonth`  =9and `ageDay`  =2;</v>
      </c>
    </row>
    <row r="141" ht="54.75" customHeight="1" spans="1:12">
      <c r="A141" s="33" t="s">
        <v>5</v>
      </c>
      <c r="B141" s="24" t="s">
        <v>150</v>
      </c>
      <c r="C141" s="33" t="s">
        <v>7</v>
      </c>
      <c r="D141" s="30">
        <v>4077</v>
      </c>
      <c r="E141" s="33" t="s">
        <v>8</v>
      </c>
      <c r="F141" s="30">
        <v>0</v>
      </c>
      <c r="G141" s="33" t="s">
        <v>9</v>
      </c>
      <c r="H141" s="30">
        <v>9</v>
      </c>
      <c r="I141" s="33" t="s">
        <v>10</v>
      </c>
      <c r="J141" s="30">
        <v>5</v>
      </c>
      <c r="K141" s="33" t="s">
        <v>11</v>
      </c>
      <c r="L141" s="36" t="str">
        <f t="shared" si="2"/>
        <v>update `parenting_daily_news_first`  set `pushTitle` ="1岁内宝宝警惕！这些异常都是佝偻病信号，做好这2点有效预防",`updateTime`  = now() WHERE `dnId` =4077and `ageYear`  =0and `ageMonth`  =9and `ageDay`  =5;</v>
      </c>
    </row>
    <row r="142" ht="68.25" customHeight="1" spans="1:12">
      <c r="A142" s="33" t="s">
        <v>5</v>
      </c>
      <c r="B142" s="24" t="s">
        <v>151</v>
      </c>
      <c r="C142" s="33" t="s">
        <v>7</v>
      </c>
      <c r="D142" s="30">
        <v>6030</v>
      </c>
      <c r="E142" s="33" t="s">
        <v>8</v>
      </c>
      <c r="F142" s="30">
        <v>0</v>
      </c>
      <c r="G142" s="33" t="s">
        <v>9</v>
      </c>
      <c r="H142" s="30">
        <v>9</v>
      </c>
      <c r="I142" s="33" t="s">
        <v>10</v>
      </c>
      <c r="J142" s="30">
        <v>7</v>
      </c>
      <c r="K142" s="33" t="s">
        <v>11</v>
      </c>
      <c r="L142" s="36" t="str">
        <f t="shared" si="2"/>
        <v>update `parenting_daily_news_first`  set `pushTitle` ="这5种“食物相克”说法最坑娃！实验+官方文件双重辟谣，附正确搭配原则",`updateTime`  = now() WHERE `dnId` =6030and `ageYear`  =0and `ageMonth`  =9and `ageDay`  =7;</v>
      </c>
    </row>
    <row r="143" ht="54.75" customHeight="1" spans="1:12">
      <c r="A143" s="33" t="s">
        <v>5</v>
      </c>
      <c r="B143" s="24" t="s">
        <v>152</v>
      </c>
      <c r="C143" s="33" t="s">
        <v>7</v>
      </c>
      <c r="D143" s="30">
        <v>2770</v>
      </c>
      <c r="E143" s="33" t="s">
        <v>8</v>
      </c>
      <c r="F143" s="30">
        <v>0</v>
      </c>
      <c r="G143" s="33" t="s">
        <v>9</v>
      </c>
      <c r="H143" s="30">
        <v>9</v>
      </c>
      <c r="I143" s="33" t="s">
        <v>10</v>
      </c>
      <c r="J143" s="30">
        <v>8</v>
      </c>
      <c r="K143" s="33" t="s">
        <v>11</v>
      </c>
      <c r="L143" s="36" t="str">
        <f t="shared" si="2"/>
        <v>update `parenting_daily_news_first`  set `pushTitle` ="⚠️立刻排查！这5个家中烫伤隐患，一定要帮宝宝避开，尤其第3个",`updateTime`  = now() WHERE `dnId` =2770and `ageYear`  =0and `ageMonth`  =9and `ageDay`  =8;</v>
      </c>
    </row>
    <row r="144" ht="54.75" customHeight="1" spans="1:12">
      <c r="A144" s="33" t="s">
        <v>5</v>
      </c>
      <c r="B144" s="24" t="s">
        <v>153</v>
      </c>
      <c r="C144" s="33" t="s">
        <v>7</v>
      </c>
      <c r="D144" s="30">
        <v>2706</v>
      </c>
      <c r="E144" s="33" t="s">
        <v>8</v>
      </c>
      <c r="F144" s="30">
        <v>0</v>
      </c>
      <c r="G144" s="33" t="s">
        <v>9</v>
      </c>
      <c r="H144" s="30">
        <v>9</v>
      </c>
      <c r="I144" s="33" t="s">
        <v>10</v>
      </c>
      <c r="J144" s="30">
        <v>9</v>
      </c>
      <c r="K144" s="33" t="s">
        <v>11</v>
      </c>
      <c r="L144" s="36" t="str">
        <f t="shared" si="2"/>
        <v>update `parenting_daily_news_first`  set `pushTitle` ="宝宝久咳≠肺炎，但如果出现这种呼吸声+3个表现，要立刻去医院🏥",`updateTime`  = now() WHERE `dnId` =2706and `ageYear`  =0and `ageMonth`  =9and `ageDay`  =9;</v>
      </c>
    </row>
    <row r="145" ht="54.75" customHeight="1" spans="1:12">
      <c r="A145" s="33" t="s">
        <v>5</v>
      </c>
      <c r="B145" s="24" t="s">
        <v>154</v>
      </c>
      <c r="C145" s="33" t="s">
        <v>7</v>
      </c>
      <c r="D145" s="30">
        <v>2422</v>
      </c>
      <c r="E145" s="33" t="s">
        <v>8</v>
      </c>
      <c r="F145" s="30">
        <v>1</v>
      </c>
      <c r="G145" s="33" t="s">
        <v>9</v>
      </c>
      <c r="H145" s="30">
        <v>0</v>
      </c>
      <c r="I145" s="33" t="s">
        <v>10</v>
      </c>
      <c r="J145" s="30">
        <v>11</v>
      </c>
      <c r="K145" s="33" t="s">
        <v>11</v>
      </c>
      <c r="L145" s="36" t="str">
        <f t="shared" si="2"/>
        <v>update `parenting_daily_news_first`  set `pushTitle` ="医生提醒：这5类感冒药，4岁以下宝宝慎用！附安全替代方案",`updateTime`  = now() WHERE `dnId` =2422and `ageYear`  =1and `ageMonth`  =0and `ageDay`  =11;</v>
      </c>
    </row>
    <row r="146" ht="54.75" customHeight="1" spans="1:12">
      <c r="A146" s="33" t="s">
        <v>5</v>
      </c>
      <c r="B146" s="24" t="s">
        <v>155</v>
      </c>
      <c r="C146" s="33" t="s">
        <v>7</v>
      </c>
      <c r="D146" s="30">
        <v>5954</v>
      </c>
      <c r="E146" s="33" t="s">
        <v>8</v>
      </c>
      <c r="F146" s="30">
        <v>1</v>
      </c>
      <c r="G146" s="33" t="s">
        <v>9</v>
      </c>
      <c r="H146" s="30">
        <v>0</v>
      </c>
      <c r="I146" s="33" t="s">
        <v>10</v>
      </c>
      <c r="J146" s="30">
        <v>12</v>
      </c>
      <c r="K146" s="33" t="s">
        <v>11</v>
      </c>
      <c r="L146" s="36" t="str">
        <f t="shared" si="2"/>
        <v>update `parenting_daily_news_first`  set `pushTitle` ="宝宝长期口呼吸，会变丑还影响智力！3步在家自测，早发现早干预",`updateTime`  = now() WHERE `dnId` =5954and `ageYear`  =1and `ageMonth`  =0and `ageDay`  =12;</v>
      </c>
    </row>
    <row r="147" ht="54.75" customHeight="1" spans="1:12">
      <c r="A147" s="33" t="s">
        <v>5</v>
      </c>
      <c r="B147" s="24" t="s">
        <v>156</v>
      </c>
      <c r="C147" s="33" t="s">
        <v>7</v>
      </c>
      <c r="D147" s="30">
        <v>5956</v>
      </c>
      <c r="E147" s="33" t="s">
        <v>8</v>
      </c>
      <c r="F147" s="30">
        <v>1</v>
      </c>
      <c r="G147" s="33" t="s">
        <v>9</v>
      </c>
      <c r="H147" s="30">
        <v>0</v>
      </c>
      <c r="I147" s="33" t="s">
        <v>10</v>
      </c>
      <c r="J147" s="30">
        <v>14</v>
      </c>
      <c r="K147" s="33" t="s">
        <v>11</v>
      </c>
      <c r="L147" s="36" t="str">
        <f t="shared" si="2"/>
        <v>update `parenting_daily_news_first`  set `pushTitle` ="#baby#多大能吃奶酪？包装上有这4个字的，慎选！附正确挑选法",`updateTime`  = now() WHERE `dnId` =5956and `ageYear`  =1and `ageMonth`  =0and `ageDay`  =14;</v>
      </c>
    </row>
    <row r="148" ht="41.25" customHeight="1" spans="1:12">
      <c r="A148" s="33" t="s">
        <v>5</v>
      </c>
      <c r="B148" s="24" t="s">
        <v>157</v>
      </c>
      <c r="C148" s="33" t="s">
        <v>7</v>
      </c>
      <c r="D148" s="30">
        <v>6201</v>
      </c>
      <c r="E148" s="33" t="s">
        <v>8</v>
      </c>
      <c r="F148" s="30">
        <v>1</v>
      </c>
      <c r="G148" s="33" t="s">
        <v>9</v>
      </c>
      <c r="H148" s="30">
        <v>0</v>
      </c>
      <c r="I148" s="33" t="s">
        <v>10</v>
      </c>
      <c r="J148" s="30">
        <v>18</v>
      </c>
      <c r="K148" s="33" t="s">
        <v>11</v>
      </c>
      <c r="L148" s="36" t="str">
        <f t="shared" si="2"/>
        <v>update `parenting_daily_news_first`  set `pushTitle` ="宝宝挑食别焦虑！记住“3432”饮食法，不愁营养不够",`updateTime`  = now() WHERE `dnId` =6201and `ageYear`  =1and `ageMonth`  =0and `ageDay`  =18;</v>
      </c>
    </row>
    <row r="149" ht="54.75" customHeight="1" spans="1:12">
      <c r="A149" s="33" t="s">
        <v>5</v>
      </c>
      <c r="B149" s="24" t="s">
        <v>158</v>
      </c>
      <c r="C149" s="33" t="s">
        <v>7</v>
      </c>
      <c r="D149" s="30">
        <v>2609</v>
      </c>
      <c r="E149" s="33" t="s">
        <v>8</v>
      </c>
      <c r="F149" s="30">
        <v>1</v>
      </c>
      <c r="G149" s="33" t="s">
        <v>9</v>
      </c>
      <c r="H149" s="30">
        <v>0</v>
      </c>
      <c r="I149" s="33" t="s">
        <v>10</v>
      </c>
      <c r="J149" s="30">
        <v>1</v>
      </c>
      <c r="K149" s="33" t="s">
        <v>11</v>
      </c>
      <c r="L149" s="36" t="str">
        <f t="shared" si="2"/>
        <v>update `parenting_daily_news_first`  set `pushTitle` ="1～2岁宝宝误食误吞高发期，家中这5个安全死角快排查",`updateTime`  = now() WHERE `dnId` =2609and `ageYear`  =1and `ageMonth`  =0and `ageDay`  =1;</v>
      </c>
    </row>
    <row r="150" ht="41.25" customHeight="1" spans="1:12">
      <c r="A150" s="33" t="s">
        <v>5</v>
      </c>
      <c r="B150" s="24" t="s">
        <v>159</v>
      </c>
      <c r="C150" s="33" t="s">
        <v>7</v>
      </c>
      <c r="D150" s="30">
        <v>6283</v>
      </c>
      <c r="E150" s="33" t="s">
        <v>8</v>
      </c>
      <c r="F150" s="30">
        <v>1</v>
      </c>
      <c r="G150" s="33" t="s">
        <v>9</v>
      </c>
      <c r="H150" s="30">
        <v>0</v>
      </c>
      <c r="I150" s="33" t="s">
        <v>10</v>
      </c>
      <c r="J150" s="30">
        <v>20</v>
      </c>
      <c r="K150" s="33" t="s">
        <v>11</v>
      </c>
      <c r="L150" s="36" t="str">
        <f t="shared" si="2"/>
        <v>update `parenting_daily_news_first`  set `pushTitle` ="亲子关系影响宝宝一生！这2步，帮你筑牢爱的根基",`updateTime`  = now() WHERE `dnId` =6283and `ageYear`  =1and `ageMonth`  =0and `ageDay`  =20;</v>
      </c>
    </row>
    <row r="151" ht="68.25" customHeight="1" spans="1:12">
      <c r="A151" s="33" t="s">
        <v>5</v>
      </c>
      <c r="B151" s="24" t="s">
        <v>160</v>
      </c>
      <c r="C151" s="33" t="s">
        <v>7</v>
      </c>
      <c r="D151" s="30">
        <v>4056</v>
      </c>
      <c r="E151" s="33" t="s">
        <v>8</v>
      </c>
      <c r="F151" s="30">
        <v>1</v>
      </c>
      <c r="G151" s="33" t="s">
        <v>9</v>
      </c>
      <c r="H151" s="30">
        <v>0</v>
      </c>
      <c r="I151" s="33" t="s">
        <v>10</v>
      </c>
      <c r="J151" s="30">
        <v>21</v>
      </c>
      <c r="K151" s="33" t="s">
        <v>11</v>
      </c>
      <c r="L151" s="36" t="str">
        <f t="shared" si="2"/>
        <v>update `parenting_daily_news_first`  set `pushTitle` ="司机完全看不到！宝宝身高不足1米，这3个位置是绝对盲区，家长必查",`updateTime`  = now() WHERE `dnId` =4056and `ageYear`  =1and `ageMonth`  =0and `ageDay`  =21;</v>
      </c>
    </row>
    <row r="152" ht="68.25" customHeight="1" spans="1:12">
      <c r="A152" s="33" t="s">
        <v>5</v>
      </c>
      <c r="B152" s="24" t="s">
        <v>161</v>
      </c>
      <c r="C152" s="33" t="s">
        <v>7</v>
      </c>
      <c r="D152" s="30">
        <v>5918</v>
      </c>
      <c r="E152" s="33" t="s">
        <v>8</v>
      </c>
      <c r="F152" s="30">
        <v>1</v>
      </c>
      <c r="G152" s="33" t="s">
        <v>9</v>
      </c>
      <c r="H152" s="30">
        <v>0</v>
      </c>
      <c r="I152" s="33" t="s">
        <v>10</v>
      </c>
      <c r="J152" s="30">
        <v>23</v>
      </c>
      <c r="K152" s="33" t="s">
        <v>11</v>
      </c>
      <c r="L152" s="36" t="str">
        <f t="shared" si="2"/>
        <v>update `parenting_daily_news_first`  set `pushTitle` ="别交智商税！5种网红「儿童食品」，营养不如普通款，添加剂还更多",`updateTime`  = now() WHERE `dnId` =5918and `ageYear`  =1and `ageMonth`  =0and `ageDay`  =23;</v>
      </c>
    </row>
    <row r="153" ht="54.75" customHeight="1" spans="1:12">
      <c r="A153" s="33" t="s">
        <v>5</v>
      </c>
      <c r="B153" s="24" t="s">
        <v>162</v>
      </c>
      <c r="C153" s="33" t="s">
        <v>7</v>
      </c>
      <c r="D153" s="30">
        <v>2388</v>
      </c>
      <c r="E153" s="33" t="s">
        <v>8</v>
      </c>
      <c r="F153" s="30">
        <v>1</v>
      </c>
      <c r="G153" s="33" t="s">
        <v>9</v>
      </c>
      <c r="H153" s="30">
        <v>0</v>
      </c>
      <c r="I153" s="33" t="s">
        <v>10</v>
      </c>
      <c r="J153" s="30">
        <v>2</v>
      </c>
      <c r="K153" s="33" t="s">
        <v>11</v>
      </c>
      <c r="L153" s="36" t="str">
        <f t="shared" si="2"/>
        <v>update `parenting_daily_news_first`  set `pushTitle` ="这样教宝宝说话，可能越教越晚！7个常见误区，第4个很多人在做",`updateTime`  = now() WHERE `dnId` =2388and `ageYear`  =1and `ageMonth`  =0and `ageDay`  =2;</v>
      </c>
    </row>
    <row r="154" ht="54.75" customHeight="1" spans="1:12">
      <c r="A154" s="33" t="s">
        <v>5</v>
      </c>
      <c r="B154" s="24" t="s">
        <v>163</v>
      </c>
      <c r="C154" s="33" t="s">
        <v>7</v>
      </c>
      <c r="D154" s="30">
        <v>5948</v>
      </c>
      <c r="E154" s="33" t="s">
        <v>8</v>
      </c>
      <c r="F154" s="30">
        <v>1</v>
      </c>
      <c r="G154" s="33" t="s">
        <v>9</v>
      </c>
      <c r="H154" s="30">
        <v>0</v>
      </c>
      <c r="I154" s="33" t="s">
        <v>10</v>
      </c>
      <c r="J154" s="30">
        <v>3</v>
      </c>
      <c r="K154" s="33" t="s">
        <v>11</v>
      </c>
      <c r="L154" s="36" t="str">
        <f t="shared" si="2"/>
        <v>update `parenting_daily_news_first`  set `pushTitle` ="儿童牙刷别乱买，选错伤牙龈还刷不干净！对照国家标准，3步选对",`updateTime`  = now() WHERE `dnId` =5948and `ageYear`  =1and `ageMonth`  =0and `ageDay`  =3;</v>
      </c>
    </row>
    <row r="155" ht="68.25" customHeight="1" spans="1:12">
      <c r="A155" s="33" t="s">
        <v>5</v>
      </c>
      <c r="B155" s="24" t="s">
        <v>164</v>
      </c>
      <c r="C155" s="33" t="s">
        <v>7</v>
      </c>
      <c r="D155" s="30">
        <v>5915</v>
      </c>
      <c r="E155" s="33" t="s">
        <v>8</v>
      </c>
      <c r="F155" s="30">
        <v>1</v>
      </c>
      <c r="G155" s="33" t="s">
        <v>9</v>
      </c>
      <c r="H155" s="30">
        <v>0</v>
      </c>
      <c r="I155" s="33" t="s">
        <v>10</v>
      </c>
      <c r="J155" s="30">
        <v>5</v>
      </c>
      <c r="K155" s="33" t="s">
        <v>11</v>
      </c>
      <c r="L155" s="36" t="str">
        <f t="shared" si="2"/>
        <v>update `parenting_daily_news_first`  set `pushTitle` ="孩子经常感冒，免疫力反而强？医生：这个次数内正常，但出现这种情况要警惕",`updateTime`  = now() WHERE `dnId` =5915and `ageYear`  =1and `ageMonth`  =0and `ageDay`  =5;</v>
      </c>
    </row>
    <row r="156" ht="54.75" customHeight="1" spans="1:12">
      <c r="A156" s="33" t="s">
        <v>5</v>
      </c>
      <c r="B156" s="24" t="s">
        <v>165</v>
      </c>
      <c r="C156" s="33" t="s">
        <v>7</v>
      </c>
      <c r="D156" s="30">
        <v>5922</v>
      </c>
      <c r="E156" s="33" t="s">
        <v>8</v>
      </c>
      <c r="F156" s="30">
        <v>1</v>
      </c>
      <c r="G156" s="33" t="s">
        <v>9</v>
      </c>
      <c r="H156" s="30">
        <v>0</v>
      </c>
      <c r="I156" s="33" t="s">
        <v>10</v>
      </c>
      <c r="J156" s="30">
        <v>7</v>
      </c>
      <c r="K156" s="33" t="s">
        <v>11</v>
      </c>
      <c r="L156" s="36" t="str">
        <f t="shared" si="2"/>
        <v>update `parenting_daily_news_first`  set `pushTitle` ="防蛀牙，别只盯着糖！这4个因素才是关键，尤其是最后1个",`updateTime`  = now() WHERE `dnId` =5922and `ageYear`  =1and `ageMonth`  =0and `ageDay`  =7;</v>
      </c>
    </row>
    <row r="157" ht="54.75" customHeight="1" spans="1:12">
      <c r="A157" s="33" t="s">
        <v>5</v>
      </c>
      <c r="B157" s="24" t="s">
        <v>154</v>
      </c>
      <c r="C157" s="33" t="s">
        <v>7</v>
      </c>
      <c r="D157" s="30">
        <v>2422</v>
      </c>
      <c r="E157" s="33" t="s">
        <v>8</v>
      </c>
      <c r="F157" s="30">
        <v>1</v>
      </c>
      <c r="G157" s="33" t="s">
        <v>9</v>
      </c>
      <c r="H157" s="30">
        <v>10</v>
      </c>
      <c r="I157" s="33" t="s">
        <v>10</v>
      </c>
      <c r="J157" s="30">
        <v>11</v>
      </c>
      <c r="K157" s="33" t="s">
        <v>11</v>
      </c>
      <c r="L157" s="36" t="str">
        <f t="shared" si="2"/>
        <v>update `parenting_daily_news_first`  set `pushTitle` ="医生提醒：这5类感冒药，4岁以下宝宝慎用！附安全替代方案",`updateTime`  = now() WHERE `dnId` =2422and `ageYear`  =1and `ageMonth`  =10and `ageDay`  =11;</v>
      </c>
    </row>
    <row r="158" ht="54.75" customHeight="1" spans="1:12">
      <c r="A158" s="33" t="s">
        <v>5</v>
      </c>
      <c r="B158" s="24" t="s">
        <v>166</v>
      </c>
      <c r="C158" s="33" t="s">
        <v>7</v>
      </c>
      <c r="D158" s="30">
        <v>6082</v>
      </c>
      <c r="E158" s="33" t="s">
        <v>8</v>
      </c>
      <c r="F158" s="30">
        <v>1</v>
      </c>
      <c r="G158" s="33" t="s">
        <v>9</v>
      </c>
      <c r="H158" s="30">
        <v>10</v>
      </c>
      <c r="I158" s="33" t="s">
        <v>10</v>
      </c>
      <c r="J158" s="30">
        <v>22</v>
      </c>
      <c r="K158" s="33" t="s">
        <v>11</v>
      </c>
      <c r="L158" s="36" t="str">
        <f t="shared" si="2"/>
        <v>update `parenting_daily_news_first`  set `pushTitle` ="别再这么喂药💊！3种方式超危险，可能呛到还伤娃，附正确技巧",`updateTime`  = now() WHERE `dnId` =6082and `ageYear`  =1and `ageMonth`  =10and `ageDay`  =22;</v>
      </c>
    </row>
    <row r="159" ht="54.75" customHeight="1" spans="1:12">
      <c r="A159" s="33" t="s">
        <v>5</v>
      </c>
      <c r="B159" s="24" t="s">
        <v>167</v>
      </c>
      <c r="C159" s="33" t="s">
        <v>7</v>
      </c>
      <c r="D159" s="30">
        <v>130</v>
      </c>
      <c r="E159" s="33" t="s">
        <v>8</v>
      </c>
      <c r="F159" s="30">
        <v>1</v>
      </c>
      <c r="G159" s="33" t="s">
        <v>9</v>
      </c>
      <c r="H159" s="30">
        <v>10</v>
      </c>
      <c r="I159" s="33" t="s">
        <v>10</v>
      </c>
      <c r="J159" s="30">
        <v>23</v>
      </c>
      <c r="K159" s="33" t="s">
        <v>11</v>
      </c>
      <c r="L159" s="36" t="str">
        <f t="shared" si="2"/>
        <v>update `parenting_daily_news_first`  set `pushTitle` ="宝宝不会擤鼻涕🤧？用“吹纸巾”小游戏，轻松教会#ta#",`updateTime`  = now() WHERE `dnId` =130and `ageYear`  =1and `ageMonth`  =10and `ageDay`  =23;</v>
      </c>
    </row>
    <row r="160" ht="41.25" customHeight="1" spans="1:12">
      <c r="A160" s="33" t="s">
        <v>5</v>
      </c>
      <c r="B160" s="24" t="s">
        <v>168</v>
      </c>
      <c r="C160" s="33" t="s">
        <v>7</v>
      </c>
      <c r="D160" s="30">
        <v>4294</v>
      </c>
      <c r="E160" s="33" t="s">
        <v>8</v>
      </c>
      <c r="F160" s="30">
        <v>1</v>
      </c>
      <c r="G160" s="33" t="s">
        <v>9</v>
      </c>
      <c r="H160" s="30">
        <v>10</v>
      </c>
      <c r="I160" s="33" t="s">
        <v>10</v>
      </c>
      <c r="J160" s="30">
        <v>6</v>
      </c>
      <c r="K160" s="33" t="s">
        <v>11</v>
      </c>
      <c r="L160" s="36" t="str">
        <f t="shared" si="2"/>
        <v>update `parenting_daily_news_first`  set `pushTitle` ="想给宝宝买保险？这7件事做错=白花钱！附正确思路",`updateTime`  = now() WHERE `dnId` =4294and `ageYear`  =1and `ageMonth`  =10and `ageDay`  =6;</v>
      </c>
    </row>
    <row r="161" ht="54.75" customHeight="1" spans="1:12">
      <c r="A161" s="33" t="s">
        <v>5</v>
      </c>
      <c r="B161" s="24" t="s">
        <v>169</v>
      </c>
      <c r="C161" s="33" t="s">
        <v>7</v>
      </c>
      <c r="D161" s="30">
        <v>4409</v>
      </c>
      <c r="E161" s="33" t="s">
        <v>8</v>
      </c>
      <c r="F161" s="30">
        <v>1</v>
      </c>
      <c r="G161" s="33" t="s">
        <v>9</v>
      </c>
      <c r="H161" s="30">
        <v>10</v>
      </c>
      <c r="I161" s="33" t="s">
        <v>10</v>
      </c>
      <c r="J161" s="30">
        <v>7</v>
      </c>
      <c r="K161" s="33" t="s">
        <v>11</v>
      </c>
      <c r="L161" s="36" t="str">
        <f t="shared" si="2"/>
        <v>update `parenting_daily_news_first`  set `pushTitle` ="想送宝宝上托班？这4个坑一定要避开！尤其第2个，直接影响安全",`updateTime`  = now() WHERE `dnId` =4409and `ageYear`  =1and `ageMonth`  =10and `ageDay`  =7;</v>
      </c>
    </row>
    <row r="162" ht="54.75" customHeight="1" spans="1:12">
      <c r="A162" s="33" t="s">
        <v>5</v>
      </c>
      <c r="B162" s="24" t="s">
        <v>170</v>
      </c>
      <c r="C162" s="33" t="s">
        <v>7</v>
      </c>
      <c r="D162" s="30">
        <v>5959</v>
      </c>
      <c r="E162" s="33" t="s">
        <v>8</v>
      </c>
      <c r="F162" s="30">
        <v>1</v>
      </c>
      <c r="G162" s="33" t="s">
        <v>9</v>
      </c>
      <c r="H162" s="30">
        <v>10</v>
      </c>
      <c r="I162" s="33" t="s">
        <v>10</v>
      </c>
      <c r="J162" s="30">
        <v>9</v>
      </c>
      <c r="K162" s="33" t="s">
        <v>11</v>
      </c>
      <c r="L162" s="36" t="str">
        <f t="shared" si="2"/>
        <v>update `parenting_daily_news_first`  set `pushTitle` ="1～3岁宝宝“挑食”高发！但这5种情况不是真挑食，别再冤枉娃了",`updateTime`  = now() WHERE `dnId` =5959and `ageYear`  =1and `ageMonth`  =10and `ageDay`  =9;</v>
      </c>
    </row>
    <row r="163" ht="54.75" customHeight="1" spans="1:12">
      <c r="A163" s="33" t="s">
        <v>5</v>
      </c>
      <c r="B163" s="24" t="s">
        <v>171</v>
      </c>
      <c r="C163" s="33" t="s">
        <v>7</v>
      </c>
      <c r="D163" s="30">
        <v>2384</v>
      </c>
      <c r="E163" s="33" t="s">
        <v>8</v>
      </c>
      <c r="F163" s="30">
        <v>1</v>
      </c>
      <c r="G163" s="33" t="s">
        <v>9</v>
      </c>
      <c r="H163" s="30">
        <v>11</v>
      </c>
      <c r="I163" s="33" t="s">
        <v>10</v>
      </c>
      <c r="J163" s="30">
        <v>11</v>
      </c>
      <c r="K163" s="33" t="s">
        <v>11</v>
      </c>
      <c r="L163" s="36" t="str">
        <f t="shared" si="2"/>
        <v>update `parenting_daily_news_first`  set `pushTitle` ="大便化验单藏着宝宝健康密码！重点看这9项，快速判断",`updateTime`  = now() WHERE `dnId` =2384and `ageYear`  =1and `ageMonth`  =11and `ageDay`  =11;</v>
      </c>
    </row>
    <row r="164" ht="54.75" customHeight="1" spans="1:12">
      <c r="A164" s="33" t="s">
        <v>5</v>
      </c>
      <c r="B164" s="24" t="s">
        <v>172</v>
      </c>
      <c r="C164" s="33" t="s">
        <v>7</v>
      </c>
      <c r="D164" s="30">
        <v>172</v>
      </c>
      <c r="E164" s="33" t="s">
        <v>8</v>
      </c>
      <c r="F164" s="30">
        <v>1</v>
      </c>
      <c r="G164" s="33" t="s">
        <v>9</v>
      </c>
      <c r="H164" s="30">
        <v>11</v>
      </c>
      <c r="I164" s="33" t="s">
        <v>10</v>
      </c>
      <c r="J164" s="30">
        <v>12</v>
      </c>
      <c r="K164" s="33" t="s">
        <v>11</v>
      </c>
      <c r="L164" s="36" t="str">
        <f t="shared" si="2"/>
        <v>update `parenting_daily_news_first`  set `pushTitle` ="宝宝打人不是坏！是不会表达，读懂#ta#这5句“潜台词”，轻松化解",`updateTime`  = now() WHERE `dnId` =172and `ageYear`  =1and `ageMonth`  =11and `ageDay`  =12;</v>
      </c>
    </row>
    <row r="165" ht="68.25" customHeight="1" spans="1:12">
      <c r="A165" s="33" t="s">
        <v>5</v>
      </c>
      <c r="B165" s="24" t="s">
        <v>173</v>
      </c>
      <c r="C165" s="33" t="s">
        <v>7</v>
      </c>
      <c r="D165" s="30">
        <v>5944</v>
      </c>
      <c r="E165" s="33" t="s">
        <v>8</v>
      </c>
      <c r="F165" s="30">
        <v>1</v>
      </c>
      <c r="G165" s="33" t="s">
        <v>9</v>
      </c>
      <c r="H165" s="30">
        <v>11</v>
      </c>
      <c r="I165" s="33" t="s">
        <v>10</v>
      </c>
      <c r="J165" s="30">
        <v>20</v>
      </c>
      <c r="K165" s="33" t="s">
        <v>11</v>
      </c>
      <c r="L165" s="36" t="str">
        <f t="shared" si="2"/>
        <v>update `parenting_daily_news_first`  set `pushTitle` ="伤牙食物不止糖🍬，娃常吃的这3类最易忽略！附应对方法和护牙食物清单",`updateTime`  = now() WHERE `dnId` =5944and `ageYear`  =1and `ageMonth`  =11and `ageDay`  =20;</v>
      </c>
    </row>
    <row r="166" ht="54.75" customHeight="1" spans="1:12">
      <c r="A166" s="33" t="s">
        <v>5</v>
      </c>
      <c r="B166" s="24" t="s">
        <v>174</v>
      </c>
      <c r="C166" s="33" t="s">
        <v>7</v>
      </c>
      <c r="D166" s="30">
        <v>4562</v>
      </c>
      <c r="E166" s="33" t="s">
        <v>8</v>
      </c>
      <c r="F166" s="30">
        <v>1</v>
      </c>
      <c r="G166" s="33" t="s">
        <v>9</v>
      </c>
      <c r="H166" s="30">
        <v>1</v>
      </c>
      <c r="I166" s="33" t="s">
        <v>10</v>
      </c>
      <c r="J166" s="30">
        <v>23</v>
      </c>
      <c r="K166" s="33" t="s">
        <v>11</v>
      </c>
      <c r="L166" s="36" t="str">
        <f t="shared" si="2"/>
        <v>update `parenting_daily_news_first`  set `pushTitle` ="退烧药吃错，无效还伤身！孩子发烧🤒️，记住这个用药金标准",`updateTime`  = now() WHERE `dnId` =4562and `ageYear`  =1and `ageMonth`  =1and `ageDay`  =23;</v>
      </c>
    </row>
    <row r="167" ht="68.25" customHeight="1" spans="1:12">
      <c r="A167" s="33" t="s">
        <v>5</v>
      </c>
      <c r="B167" s="24" t="s">
        <v>175</v>
      </c>
      <c r="C167" s="33" t="s">
        <v>7</v>
      </c>
      <c r="D167" s="30">
        <v>2613</v>
      </c>
      <c r="E167" s="33" t="s">
        <v>8</v>
      </c>
      <c r="F167" s="30">
        <v>1</v>
      </c>
      <c r="G167" s="33" t="s">
        <v>9</v>
      </c>
      <c r="H167" s="30">
        <v>1</v>
      </c>
      <c r="I167" s="33" t="s">
        <v>10</v>
      </c>
      <c r="J167" s="30">
        <v>25</v>
      </c>
      <c r="K167" s="33" t="s">
        <v>11</v>
      </c>
      <c r="L167" s="36" t="str">
        <f t="shared" si="2"/>
        <v>update `parenting_daily_news_first`  set `pushTitle` ="每个家长都该知道的宝宝通鼻妙招！鼻塞流涕不用慌，不吃药护理大全快收藏",`updateTime`  = now() WHERE `dnId` =2613and `ageYear`  =1and `ageMonth`  =1and `ageDay`  =25;</v>
      </c>
    </row>
    <row r="168" ht="54.75" customHeight="1" spans="1:12">
      <c r="A168" s="33" t="s">
        <v>5</v>
      </c>
      <c r="B168" s="24" t="s">
        <v>176</v>
      </c>
      <c r="C168" s="33" t="s">
        <v>7</v>
      </c>
      <c r="D168" s="30">
        <v>5958</v>
      </c>
      <c r="E168" s="33" t="s">
        <v>8</v>
      </c>
      <c r="F168" s="30">
        <v>1</v>
      </c>
      <c r="G168" s="33" t="s">
        <v>9</v>
      </c>
      <c r="H168" s="30">
        <v>1</v>
      </c>
      <c r="I168" s="33" t="s">
        <v>10</v>
      </c>
      <c r="J168" s="30">
        <v>27</v>
      </c>
      <c r="K168" s="33" t="s">
        <v>11</v>
      </c>
      <c r="L168" s="36" t="str">
        <f t="shared" si="2"/>
        <v>update `parenting_daily_news_first`  set `pushTitle` ="自闭症不是小概率！一个班就可能有1个，孩子这2种表现家长别忽视",`updateTime`  = now() WHERE `dnId` =5958and `ageYear`  =1and `ageMonth`  =1and `ageDay`  =27;</v>
      </c>
    </row>
    <row r="169" ht="54.75" customHeight="1" spans="1:12">
      <c r="A169" s="33" t="s">
        <v>5</v>
      </c>
      <c r="B169" s="24" t="s">
        <v>177</v>
      </c>
      <c r="C169" s="33" t="s">
        <v>7</v>
      </c>
      <c r="D169" s="30">
        <v>5972</v>
      </c>
      <c r="E169" s="33" t="s">
        <v>8</v>
      </c>
      <c r="F169" s="30">
        <v>1</v>
      </c>
      <c r="G169" s="33" t="s">
        <v>9</v>
      </c>
      <c r="H169" s="30">
        <v>2</v>
      </c>
      <c r="I169" s="33" t="s">
        <v>10</v>
      </c>
      <c r="J169" s="30">
        <v>16</v>
      </c>
      <c r="K169" s="33" t="s">
        <v>11</v>
      </c>
      <c r="L169" s="36" t="str">
        <f t="shared" si="2"/>
        <v>update `parenting_daily_news_first`  set `pushTitle` ="1～2岁娃乳牙易磕伤！处理不当影响恒牙，这2种情况需要立即就医",`updateTime`  = now() WHERE `dnId` =5972and `ageYear`  =1and `ageMonth`  =2and `ageDay`  =16;</v>
      </c>
    </row>
    <row r="170" ht="68.25" customHeight="1" spans="1:12">
      <c r="A170" s="33" t="s">
        <v>5</v>
      </c>
      <c r="B170" s="24" t="s">
        <v>178</v>
      </c>
      <c r="C170" s="33" t="s">
        <v>7</v>
      </c>
      <c r="D170" s="30">
        <v>5997</v>
      </c>
      <c r="E170" s="33" t="s">
        <v>8</v>
      </c>
      <c r="F170" s="30">
        <v>1</v>
      </c>
      <c r="G170" s="33" t="s">
        <v>9</v>
      </c>
      <c r="H170" s="30">
        <v>2</v>
      </c>
      <c r="I170" s="33" t="s">
        <v>10</v>
      </c>
      <c r="J170" s="30">
        <v>9</v>
      </c>
      <c r="K170" s="33" t="s">
        <v>11</v>
      </c>
      <c r="L170" s="36" t="str">
        <f t="shared" si="2"/>
        <v>update `parenting_daily_news_first`  set `pushTitle` ="宝宝便秘食物红黑榜：香蕉🍌可能加重，这几种才真正助排便！清单速收藏",`updateTime`  = now() WHERE `dnId` =5997and `ageYear`  =1and `ageMonth`  =2and `ageDay`  =9;</v>
      </c>
    </row>
    <row r="171" ht="68.25" customHeight="1" spans="1:12">
      <c r="A171" s="33" t="s">
        <v>5</v>
      </c>
      <c r="B171" s="24" t="s">
        <v>179</v>
      </c>
      <c r="C171" s="33" t="s">
        <v>7</v>
      </c>
      <c r="D171" s="30">
        <v>238</v>
      </c>
      <c r="E171" s="33" t="s">
        <v>8</v>
      </c>
      <c r="F171" s="30">
        <v>1</v>
      </c>
      <c r="G171" s="33" t="s">
        <v>9</v>
      </c>
      <c r="H171" s="30">
        <v>3</v>
      </c>
      <c r="I171" s="33" t="s">
        <v>10</v>
      </c>
      <c r="J171" s="30">
        <v>21</v>
      </c>
      <c r="K171" s="33" t="s">
        <v>11</v>
      </c>
      <c r="L171" s="36" t="str">
        <f t="shared" si="2"/>
        <v>update `parenting_daily_news_first`  set `pushTitle` ="孩子一咳嗽就喂止咳药？这个常见错误可能加重病情。正确护理记住这几步",`updateTime`  = now() WHERE `dnId` =238and `ageYear`  =1and `ageMonth`  =3and `ageDay`  =21;</v>
      </c>
    </row>
    <row r="172" ht="54.75" customHeight="1" spans="1:12">
      <c r="A172" s="33" t="s">
        <v>5</v>
      </c>
      <c r="B172" s="24" t="s">
        <v>180</v>
      </c>
      <c r="C172" s="33" t="s">
        <v>7</v>
      </c>
      <c r="D172" s="30">
        <v>4052</v>
      </c>
      <c r="E172" s="33" t="s">
        <v>8</v>
      </c>
      <c r="F172" s="30">
        <v>1</v>
      </c>
      <c r="G172" s="33" t="s">
        <v>9</v>
      </c>
      <c r="H172" s="30">
        <v>3</v>
      </c>
      <c r="I172" s="33" t="s">
        <v>10</v>
      </c>
      <c r="J172" s="30">
        <v>2</v>
      </c>
      <c r="K172" s="33" t="s">
        <v>11</v>
      </c>
      <c r="L172" s="36" t="str">
        <f t="shared" si="2"/>
        <v>update `parenting_daily_news_first`  set `pushTitle` ="别再浪费钱！这个被包装成“儿童必检”的项目，多数孩子根本没必要做",`updateTime`  = now() WHERE `dnId` =4052and `ageYear`  =1and `ageMonth`  =3and `ageDay`  =2;</v>
      </c>
    </row>
    <row r="173" ht="54.75" customHeight="1" spans="1:12">
      <c r="A173" s="33" t="s">
        <v>5</v>
      </c>
      <c r="B173" s="24" t="s">
        <v>181</v>
      </c>
      <c r="C173" s="33" t="s">
        <v>7</v>
      </c>
      <c r="D173" s="30">
        <v>5914</v>
      </c>
      <c r="E173" s="33" t="s">
        <v>8</v>
      </c>
      <c r="F173" s="30">
        <v>1</v>
      </c>
      <c r="G173" s="33" t="s">
        <v>9</v>
      </c>
      <c r="H173" s="30">
        <v>4</v>
      </c>
      <c r="I173" s="33" t="s">
        <v>10</v>
      </c>
      <c r="J173" s="30">
        <v>25</v>
      </c>
      <c r="K173" s="33" t="s">
        <v>11</v>
      </c>
      <c r="L173" s="36" t="str">
        <f t="shared" si="2"/>
        <v>update `parenting_daily_news_first`  set `pushTitle` ="别被“宝宝零食”“0添加”骗了！学会看这2张表，避开垃圾食品",`updateTime`  = now() WHERE `dnId` =5914and `ageYear`  =1and `ageMonth`  =4and `ageDay`  =25;</v>
      </c>
    </row>
    <row r="174" ht="54.75" customHeight="1" spans="1:12">
      <c r="A174" s="33" t="s">
        <v>5</v>
      </c>
      <c r="B174" s="24" t="s">
        <v>182</v>
      </c>
      <c r="C174" s="33" t="s">
        <v>7</v>
      </c>
      <c r="D174" s="30">
        <v>1061</v>
      </c>
      <c r="E174" s="33" t="s">
        <v>8</v>
      </c>
      <c r="F174" s="30">
        <v>1</v>
      </c>
      <c r="G174" s="33" t="s">
        <v>9</v>
      </c>
      <c r="H174" s="30">
        <v>5</v>
      </c>
      <c r="I174" s="33" t="s">
        <v>10</v>
      </c>
      <c r="J174" s="30">
        <v>26</v>
      </c>
      <c r="K174" s="33" t="s">
        <v>11</v>
      </c>
      <c r="L174" s="36" t="str">
        <f t="shared" si="2"/>
        <v>update `parenting_daily_news_first`  set `pushTitle` ="一两岁的宝宝爱说”不“？试试这5个“魔法”小技巧，比吼一万遍都管用",`updateTime`  = now() WHERE `dnId` =1061and `ageYear`  =1and `ageMonth`  =5and `ageDay`  =26;</v>
      </c>
    </row>
    <row r="175" ht="54.75" customHeight="1" spans="1:12">
      <c r="A175" s="33" t="s">
        <v>5</v>
      </c>
      <c r="B175" s="24" t="s">
        <v>183</v>
      </c>
      <c r="C175" s="33" t="s">
        <v>7</v>
      </c>
      <c r="D175" s="30">
        <v>2528</v>
      </c>
      <c r="E175" s="33" t="s">
        <v>8</v>
      </c>
      <c r="F175" s="30">
        <v>1</v>
      </c>
      <c r="G175" s="33" t="s">
        <v>9</v>
      </c>
      <c r="H175" s="30">
        <v>5</v>
      </c>
      <c r="I175" s="33" t="s">
        <v>10</v>
      </c>
      <c r="J175" s="30">
        <v>6</v>
      </c>
      <c r="K175" s="33" t="s">
        <v>11</v>
      </c>
      <c r="L175" s="36" t="str">
        <f t="shared" si="2"/>
        <v>update `parenting_daily_news_first`  set `pushTitle` ="1岁后宝宝容易哭闹，用这三句话代替“别哭了”，效果大不同",`updateTime`  = now() WHERE `dnId` =2528and `ageYear`  =1and `ageMonth`  =5and `ageDay`  =6;</v>
      </c>
    </row>
    <row r="176" ht="68.25" customHeight="1" spans="1:12">
      <c r="A176" s="33" t="s">
        <v>5</v>
      </c>
      <c r="B176" s="24" t="s">
        <v>184</v>
      </c>
      <c r="C176" s="33" t="s">
        <v>7</v>
      </c>
      <c r="D176" s="30">
        <v>5955</v>
      </c>
      <c r="E176" s="33" t="s">
        <v>8</v>
      </c>
      <c r="F176" s="30">
        <v>1</v>
      </c>
      <c r="G176" s="33" t="s">
        <v>9</v>
      </c>
      <c r="H176" s="30">
        <v>6</v>
      </c>
      <c r="I176" s="33" t="s">
        <v>10</v>
      </c>
      <c r="J176" s="30">
        <v>13</v>
      </c>
      <c r="K176" s="33" t="s">
        <v>11</v>
      </c>
      <c r="L176" s="36" t="str">
        <f t="shared" si="2"/>
        <v>update `parenting_daily_news_first`  set `pushTitle` ="不少“儿童酱油”钠含量比普通酱油还高！给娃挑酱油，记住这5个硬标准才靠谱",`updateTime`  = now() WHERE `dnId` =5955and `ageYear`  =1and `ageMonth`  =6and `ageDay`  =13;</v>
      </c>
    </row>
    <row r="177" ht="54.75" customHeight="1" spans="1:12">
      <c r="A177" s="33" t="s">
        <v>5</v>
      </c>
      <c r="B177" s="24" t="s">
        <v>185</v>
      </c>
      <c r="C177" s="33" t="s">
        <v>7</v>
      </c>
      <c r="D177" s="30">
        <v>6033</v>
      </c>
      <c r="E177" s="33" t="s">
        <v>8</v>
      </c>
      <c r="F177" s="30">
        <v>1</v>
      </c>
      <c r="G177" s="33" t="s">
        <v>9</v>
      </c>
      <c r="H177" s="30">
        <v>6</v>
      </c>
      <c r="I177" s="33" t="s">
        <v>10</v>
      </c>
      <c r="J177" s="30">
        <v>21</v>
      </c>
      <c r="K177" s="33" t="s">
        <v>11</v>
      </c>
      <c r="L177" s="36" t="str">
        <f t="shared" si="2"/>
        <v>update `parenting_daily_news_first`  set `pushTitle` ="宝宝发烧🤒️，捂汗还是散热？关键看准这个时刻，做错反而加重",`updateTime`  = now() WHERE `dnId` =6033and `ageYear`  =1and `ageMonth`  =6and `ageDay`  =21;</v>
      </c>
    </row>
    <row r="178" ht="54.75" customHeight="1" spans="1:12">
      <c r="A178" s="33" t="s">
        <v>5</v>
      </c>
      <c r="B178" s="24" t="s">
        <v>186</v>
      </c>
      <c r="C178" s="33" t="s">
        <v>7</v>
      </c>
      <c r="D178" s="30">
        <v>189</v>
      </c>
      <c r="E178" s="33" t="s">
        <v>8</v>
      </c>
      <c r="F178" s="30">
        <v>1</v>
      </c>
      <c r="G178" s="33" t="s">
        <v>9</v>
      </c>
      <c r="H178" s="30">
        <v>6</v>
      </c>
      <c r="I178" s="33" t="s">
        <v>10</v>
      </c>
      <c r="J178" s="30">
        <v>24</v>
      </c>
      <c r="K178" s="33" t="s">
        <v>11</v>
      </c>
      <c r="L178" s="36" t="str">
        <f t="shared" si="2"/>
        <v>update `parenting_daily_news_first`  set `pushTitle` ="宝宝拉肚子别慌！止泻不是第一步，5个护理要点+就医信号要记牢",`updateTime`  = now() WHERE `dnId` =189and `ageYear`  =1and `ageMonth`  =6and `ageDay`  =24;</v>
      </c>
    </row>
    <row r="179" ht="54.75" customHeight="1" spans="1:12">
      <c r="A179" s="33" t="s">
        <v>5</v>
      </c>
      <c r="B179" s="24" t="s">
        <v>187</v>
      </c>
      <c r="C179" s="33" t="s">
        <v>7</v>
      </c>
      <c r="D179" s="30">
        <v>5928</v>
      </c>
      <c r="E179" s="33" t="s">
        <v>8</v>
      </c>
      <c r="F179" s="30">
        <v>1</v>
      </c>
      <c r="G179" s="33" t="s">
        <v>9</v>
      </c>
      <c r="H179" s="30">
        <v>6</v>
      </c>
      <c r="I179" s="33" t="s">
        <v>10</v>
      </c>
      <c r="J179" s="30">
        <v>26</v>
      </c>
      <c r="K179" s="33" t="s">
        <v>11</v>
      </c>
      <c r="L179" s="36" t="str">
        <f t="shared" si="2"/>
        <v>update `parenting_daily_news_first`  set `pushTitle` ="搞定刷牙困难户，不用吼也不用逼！3个神奇方法，让#baby#爱上刷牙",`updateTime`  = now() WHERE `dnId` =5928and `ageYear`  =1and `ageMonth`  =6and `ageDay`  =26;</v>
      </c>
    </row>
    <row r="180" ht="54.75" customHeight="1" spans="1:12">
      <c r="A180" s="33" t="s">
        <v>5</v>
      </c>
      <c r="B180" s="24" t="s">
        <v>188</v>
      </c>
      <c r="C180" s="33" t="s">
        <v>7</v>
      </c>
      <c r="D180" s="30">
        <v>6112</v>
      </c>
      <c r="E180" s="33" t="s">
        <v>8</v>
      </c>
      <c r="F180" s="30">
        <v>1</v>
      </c>
      <c r="G180" s="33" t="s">
        <v>9</v>
      </c>
      <c r="H180" s="30">
        <v>6</v>
      </c>
      <c r="I180" s="33" t="s">
        <v>10</v>
      </c>
      <c r="J180" s="30">
        <v>4</v>
      </c>
      <c r="K180" s="33" t="s">
        <v>11</v>
      </c>
      <c r="L180" s="36" t="str">
        <f t="shared" si="2"/>
        <v>update `parenting_daily_news_first`  set `pushTitle` ="孩子不配合，别总硬碰硬。试试这3个“巧劲”，化解带娃的鸡飞狗跳",`updateTime`  = now() WHERE `dnId` =6112and `ageYear`  =1and `ageMonth`  =6and `ageDay`  =4;</v>
      </c>
    </row>
    <row r="181" ht="54.75" customHeight="1" spans="1:12">
      <c r="A181" s="33" t="s">
        <v>5</v>
      </c>
      <c r="B181" s="24" t="s">
        <v>189</v>
      </c>
      <c r="C181" s="33" t="s">
        <v>7</v>
      </c>
      <c r="D181" s="30">
        <v>5978</v>
      </c>
      <c r="E181" s="33" t="s">
        <v>8</v>
      </c>
      <c r="F181" s="30">
        <v>1</v>
      </c>
      <c r="G181" s="33" t="s">
        <v>9</v>
      </c>
      <c r="H181" s="30">
        <v>6</v>
      </c>
      <c r="I181" s="33" t="s">
        <v>10</v>
      </c>
      <c r="J181" s="30">
        <v>6</v>
      </c>
      <c r="K181" s="33" t="s">
        <v>11</v>
      </c>
      <c r="L181" s="36" t="str">
        <f t="shared" si="2"/>
        <v>update `parenting_daily_news_first`  set `pushTitle` ="1岁半后，宝宝社交能力正在飞跃，出现这个表现，说明#ta#发展得很好",`updateTime`  = now() WHERE `dnId` =5978and `ageYear`  =1and `ageMonth`  =6and `ageDay`  =6;</v>
      </c>
    </row>
    <row r="182" ht="54.75" customHeight="1" spans="1:12">
      <c r="A182" s="33" t="s">
        <v>5</v>
      </c>
      <c r="B182" s="24" t="s">
        <v>190</v>
      </c>
      <c r="C182" s="33" t="s">
        <v>7</v>
      </c>
      <c r="D182" s="30">
        <v>6265</v>
      </c>
      <c r="E182" s="33" t="s">
        <v>8</v>
      </c>
      <c r="F182" s="30">
        <v>1</v>
      </c>
      <c r="G182" s="33" t="s">
        <v>9</v>
      </c>
      <c r="H182" s="30">
        <v>6</v>
      </c>
      <c r="I182" s="33" t="s">
        <v>10</v>
      </c>
      <c r="J182" s="30">
        <v>9</v>
      </c>
      <c r="K182" s="33" t="s">
        <v>11</v>
      </c>
      <c r="L182" s="36" t="str">
        <f t="shared" si="2"/>
        <v>update `parenting_daily_news_first`  set `pushTitle` ="被祖辈疼爱的童年，会给孩子留下些什么？很多父母低估了这件事",`updateTime`  = now() WHERE `dnId` =6265and `ageYear`  =1and `ageMonth`  =6and `ageDay`  =9;</v>
      </c>
    </row>
    <row r="183" ht="68.25" customHeight="1" spans="1:12">
      <c r="A183" s="33" t="s">
        <v>5</v>
      </c>
      <c r="B183" s="24" t="s">
        <v>191</v>
      </c>
      <c r="C183" s="33" t="s">
        <v>7</v>
      </c>
      <c r="D183" s="30">
        <v>5968</v>
      </c>
      <c r="E183" s="33" t="s">
        <v>8</v>
      </c>
      <c r="F183" s="30">
        <v>1</v>
      </c>
      <c r="G183" s="33" t="s">
        <v>9</v>
      </c>
      <c r="H183" s="30">
        <v>7</v>
      </c>
      <c r="I183" s="33" t="s">
        <v>10</v>
      </c>
      <c r="J183" s="30">
        <v>13</v>
      </c>
      <c r="K183" s="33" t="s">
        <v>11</v>
      </c>
      <c r="L183" s="36" t="str">
        <f t="shared" si="2"/>
        <v>update `parenting_daily_news_first`  set `pushTitle` ="#baby#每天吃多少算够？一张图看清每日营养需求，避免过度喂养影响长高",`updateTime`  = now() WHERE `dnId` =5968and `ageYear`  =1and `ageMonth`  =7and `ageDay`  =13;</v>
      </c>
    </row>
    <row r="184" ht="54.75" customHeight="1" spans="1:12">
      <c r="A184" s="33" t="s">
        <v>5</v>
      </c>
      <c r="B184" s="24" t="s">
        <v>192</v>
      </c>
      <c r="C184" s="33" t="s">
        <v>7</v>
      </c>
      <c r="D184" s="30">
        <v>5917</v>
      </c>
      <c r="E184" s="33" t="s">
        <v>8</v>
      </c>
      <c r="F184" s="30">
        <v>1</v>
      </c>
      <c r="G184" s="33" t="s">
        <v>9</v>
      </c>
      <c r="H184" s="30">
        <v>7</v>
      </c>
      <c r="I184" s="33" t="s">
        <v>10</v>
      </c>
      <c r="J184" s="30">
        <v>1</v>
      </c>
      <c r="K184" s="33" t="s">
        <v>11</v>
      </c>
      <c r="L184" s="36" t="str">
        <f t="shared" si="2"/>
        <v>update `parenting_daily_news_first`  set `pushTitle` ="别再为宝宝每天吃什么发愁！3个搭配妙招，营养丰富超省心",`updateTime`  = now() WHERE `dnId` =5917and `ageYear`  =1and `ageMonth`  =7and `ageDay`  =1;</v>
      </c>
    </row>
    <row r="185" ht="41.25" customHeight="1" spans="1:12">
      <c r="A185" s="33" t="s">
        <v>5</v>
      </c>
      <c r="B185" s="24" t="s">
        <v>193</v>
      </c>
      <c r="C185" s="33" t="s">
        <v>7</v>
      </c>
      <c r="D185" s="30">
        <v>6200</v>
      </c>
      <c r="E185" s="33" t="s">
        <v>8</v>
      </c>
      <c r="F185" s="30">
        <v>1</v>
      </c>
      <c r="G185" s="33" t="s">
        <v>9</v>
      </c>
      <c r="H185" s="30">
        <v>7</v>
      </c>
      <c r="I185" s="33" t="s">
        <v>10</v>
      </c>
      <c r="J185" s="30">
        <v>20</v>
      </c>
      <c r="K185" s="33" t="s">
        <v>11</v>
      </c>
      <c r="L185" s="36" t="str">
        <f t="shared" si="2"/>
        <v>update `parenting_daily_news_first`  set `pushTitle` ="不想宝宝变“饭渣”？避开5个喂养坑，让娃爱上吃饭",`updateTime`  = now() WHERE `dnId` =6200and `ageYear`  =1and `ageMonth`  =7and `ageDay`  =20;</v>
      </c>
    </row>
    <row r="186" ht="68.25" customHeight="1" spans="1:12">
      <c r="A186" s="33" t="s">
        <v>5</v>
      </c>
      <c r="B186" s="24" t="s">
        <v>194</v>
      </c>
      <c r="C186" s="33" t="s">
        <v>7</v>
      </c>
      <c r="D186" s="30">
        <v>6132</v>
      </c>
      <c r="E186" s="33" t="s">
        <v>8</v>
      </c>
      <c r="F186" s="30">
        <v>1</v>
      </c>
      <c r="G186" s="33" t="s">
        <v>9</v>
      </c>
      <c r="H186" s="30">
        <v>7</v>
      </c>
      <c r="I186" s="33" t="s">
        <v>10</v>
      </c>
      <c r="J186" s="30">
        <v>21</v>
      </c>
      <c r="K186" s="33" t="s">
        <v>11</v>
      </c>
      <c r="L186" s="36" t="str">
        <f t="shared" si="2"/>
        <v>update `parenting_daily_news_first`  set `pushTitle` ="依赖安抚物≠缺乏安全感！儿童心理学：这是宝宝在学习长大，3种例外需留意",`updateTime`  = now() WHERE `dnId` =6132and `ageYear`  =1and `ageMonth`  =7and `ageDay`  =21;</v>
      </c>
    </row>
    <row r="187" ht="54.75" customHeight="1" spans="1:12">
      <c r="A187" s="33" t="s">
        <v>5</v>
      </c>
      <c r="B187" s="24" t="s">
        <v>174</v>
      </c>
      <c r="C187" s="33" t="s">
        <v>7</v>
      </c>
      <c r="D187" s="30">
        <v>4562</v>
      </c>
      <c r="E187" s="33" t="s">
        <v>8</v>
      </c>
      <c r="F187" s="30">
        <v>1</v>
      </c>
      <c r="G187" s="33" t="s">
        <v>9</v>
      </c>
      <c r="H187" s="30">
        <v>7</v>
      </c>
      <c r="I187" s="33" t="s">
        <v>10</v>
      </c>
      <c r="J187" s="30">
        <v>23</v>
      </c>
      <c r="K187" s="33" t="s">
        <v>11</v>
      </c>
      <c r="L187" s="36" t="str">
        <f t="shared" si="2"/>
        <v>update `parenting_daily_news_first`  set `pushTitle` ="退烧药吃错，无效还伤身！孩子发烧🤒️，记住这个用药金标准",`updateTime`  = now() WHERE `dnId` =4562and `ageYear`  =1and `ageMonth`  =7and `ageDay`  =23;</v>
      </c>
    </row>
    <row r="188" ht="41.25" customHeight="1" spans="1:12">
      <c r="A188" s="33" t="s">
        <v>5</v>
      </c>
      <c r="B188" s="24" t="s">
        <v>195</v>
      </c>
      <c r="C188" s="33" t="s">
        <v>7</v>
      </c>
      <c r="D188" s="30">
        <v>6317</v>
      </c>
      <c r="E188" s="33" t="s">
        <v>8</v>
      </c>
      <c r="F188" s="30">
        <v>1</v>
      </c>
      <c r="G188" s="33" t="s">
        <v>9</v>
      </c>
      <c r="H188" s="30">
        <v>7</v>
      </c>
      <c r="I188" s="33" t="s">
        <v>10</v>
      </c>
      <c r="J188" s="30">
        <v>24</v>
      </c>
      <c r="K188" s="33" t="s">
        <v>11</v>
      </c>
      <c r="L188" s="36" t="str">
        <f t="shared" si="2"/>
        <v>update `parenting_daily_news_first`  set `pushTitle` ="宠娃≠溺爱！2个问题帮你分清溺爱和真爱，附正确做法",`updateTime`  = now() WHERE `dnId` =6317and `ageYear`  =1and `ageMonth`  =7and `ageDay`  =24;</v>
      </c>
    </row>
    <row r="189" ht="68.25" customHeight="1" spans="1:12">
      <c r="A189" s="33" t="s">
        <v>5</v>
      </c>
      <c r="B189" s="24" t="s">
        <v>175</v>
      </c>
      <c r="C189" s="33" t="s">
        <v>7</v>
      </c>
      <c r="D189" s="30">
        <v>2613</v>
      </c>
      <c r="E189" s="33" t="s">
        <v>8</v>
      </c>
      <c r="F189" s="30">
        <v>1</v>
      </c>
      <c r="G189" s="33" t="s">
        <v>9</v>
      </c>
      <c r="H189" s="30">
        <v>7</v>
      </c>
      <c r="I189" s="33" t="s">
        <v>10</v>
      </c>
      <c r="J189" s="30">
        <v>25</v>
      </c>
      <c r="K189" s="33" t="s">
        <v>11</v>
      </c>
      <c r="L189" s="36" t="str">
        <f t="shared" si="2"/>
        <v>update `parenting_daily_news_first`  set `pushTitle` ="每个家长都该知道的宝宝通鼻妙招！鼻塞流涕不用慌，不吃药护理大全快收藏",`updateTime`  = now() WHERE `dnId` =2613and `ageYear`  =1and `ageMonth`  =7and `ageDay`  =25;</v>
      </c>
    </row>
    <row r="190" ht="54.75" customHeight="1" spans="1:12">
      <c r="A190" s="33" t="s">
        <v>5</v>
      </c>
      <c r="B190" s="24" t="s">
        <v>196</v>
      </c>
      <c r="C190" s="33" t="s">
        <v>7</v>
      </c>
      <c r="D190" s="30">
        <v>5970</v>
      </c>
      <c r="E190" s="33" t="s">
        <v>8</v>
      </c>
      <c r="F190" s="30">
        <v>1</v>
      </c>
      <c r="G190" s="33" t="s">
        <v>9</v>
      </c>
      <c r="H190" s="30">
        <v>7</v>
      </c>
      <c r="I190" s="33" t="s">
        <v>10</v>
      </c>
      <c r="J190" s="30">
        <v>28</v>
      </c>
      <c r="K190" s="33" t="s">
        <v>11</v>
      </c>
      <c r="L190" s="36" t="str">
        <f t="shared" si="2"/>
        <v>update `parenting_daily_news_first`  set `pushTitle` ="别以为吃饱了就营养够！宝宝胃小，记住“营养密度”优先，一张表说清",`updateTime`  = now() WHERE `dnId` =5970and `ageYear`  =1and `ageMonth`  =7and `ageDay`  =28;</v>
      </c>
    </row>
    <row r="191" ht="54.75" customHeight="1" spans="1:12">
      <c r="A191" s="33" t="s">
        <v>5</v>
      </c>
      <c r="B191" s="24" t="s">
        <v>158</v>
      </c>
      <c r="C191" s="33" t="s">
        <v>7</v>
      </c>
      <c r="D191" s="30">
        <v>2609</v>
      </c>
      <c r="E191" s="33" t="s">
        <v>8</v>
      </c>
      <c r="F191" s="30">
        <v>1</v>
      </c>
      <c r="G191" s="33" t="s">
        <v>9</v>
      </c>
      <c r="H191" s="30">
        <v>7</v>
      </c>
      <c r="I191" s="33" t="s">
        <v>10</v>
      </c>
      <c r="J191" s="30">
        <v>7</v>
      </c>
      <c r="K191" s="33" t="s">
        <v>11</v>
      </c>
      <c r="L191" s="36" t="str">
        <f t="shared" si="2"/>
        <v>update `parenting_daily_news_first`  set `pushTitle` ="1～2岁宝宝误食误吞高发期，家中这5个安全死角快排查",`updateTime`  = now() WHERE `dnId` =2609and `ageYear`  =1and `ageMonth`  =7and `ageDay`  =7;</v>
      </c>
    </row>
    <row r="192" ht="54.75" customHeight="1" spans="1:12">
      <c r="A192" s="33" t="s">
        <v>5</v>
      </c>
      <c r="B192" s="24" t="s">
        <v>197</v>
      </c>
      <c r="C192" s="33" t="s">
        <v>7</v>
      </c>
      <c r="D192" s="30">
        <v>6121</v>
      </c>
      <c r="E192" s="33" t="s">
        <v>8</v>
      </c>
      <c r="F192" s="30">
        <v>1</v>
      </c>
      <c r="G192" s="33" t="s">
        <v>9</v>
      </c>
      <c r="H192" s="30">
        <v>7</v>
      </c>
      <c r="I192" s="33" t="s">
        <v>10</v>
      </c>
      <c r="J192" s="30">
        <v>8</v>
      </c>
      <c r="K192" s="33" t="s">
        <v>11</v>
      </c>
      <c r="L192" s="36" t="str">
        <f t="shared" si="2"/>
        <v>update `parenting_daily_news_first`  set `pushTitle` ="父母吵架，有的伤娃有的教娃！区别就藏在这3个关键里",`updateTime`  = now() WHERE `dnId` =6121and `ageYear`  =1and `ageMonth`  =7and `ageDay`  =8;</v>
      </c>
    </row>
    <row r="193" ht="68.25" customHeight="1" spans="1:12">
      <c r="A193" s="33" t="s">
        <v>5</v>
      </c>
      <c r="B193" s="24" t="s">
        <v>164</v>
      </c>
      <c r="C193" s="33" t="s">
        <v>7</v>
      </c>
      <c r="D193" s="30">
        <v>5915</v>
      </c>
      <c r="E193" s="33" t="s">
        <v>8</v>
      </c>
      <c r="F193" s="30">
        <v>1</v>
      </c>
      <c r="G193" s="33" t="s">
        <v>9</v>
      </c>
      <c r="H193" s="30">
        <v>8</v>
      </c>
      <c r="I193" s="33" t="s">
        <v>10</v>
      </c>
      <c r="J193" s="30">
        <v>14</v>
      </c>
      <c r="K193" s="33" t="s">
        <v>11</v>
      </c>
      <c r="L193" s="36" t="str">
        <f t="shared" si="2"/>
        <v>update `parenting_daily_news_first`  set `pushTitle` ="孩子经常感冒，免疫力反而强？医生：这个次数内正常，但出现这种情况要警惕",`updateTime`  = now() WHERE `dnId` =5915and `ageYear`  =1and `ageMonth`  =8and `ageDay`  =14;</v>
      </c>
    </row>
    <row r="194" ht="54.75" customHeight="1" spans="1:12">
      <c r="A194" s="33" t="s">
        <v>5</v>
      </c>
      <c r="B194" s="24" t="s">
        <v>177</v>
      </c>
      <c r="C194" s="33" t="s">
        <v>7</v>
      </c>
      <c r="D194" s="30">
        <v>5972</v>
      </c>
      <c r="E194" s="33" t="s">
        <v>8</v>
      </c>
      <c r="F194" s="30">
        <v>1</v>
      </c>
      <c r="G194" s="33" t="s">
        <v>9</v>
      </c>
      <c r="H194" s="30">
        <v>8</v>
      </c>
      <c r="I194" s="33" t="s">
        <v>10</v>
      </c>
      <c r="J194" s="30">
        <v>16</v>
      </c>
      <c r="K194" s="33" t="s">
        <v>11</v>
      </c>
      <c r="L194" s="36" t="str">
        <f t="shared" ref="L194:L202" si="3">A194&amp;B194&amp;C194&amp;D194&amp;E194&amp;F194&amp;G194&amp;H194&amp;I194&amp;J194&amp;K194</f>
        <v>update `parenting_daily_news_first`  set `pushTitle` ="1～2岁娃乳牙易磕伤！处理不当影响恒牙，这2种情况需要立即就医",`updateTime`  = now() WHERE `dnId` =5972and `ageYear`  =1and `ageMonth`  =8and `ageDay`  =16;</v>
      </c>
    </row>
    <row r="195" ht="41.25" customHeight="1" spans="1:12">
      <c r="A195" s="33" t="s">
        <v>5</v>
      </c>
      <c r="B195" s="24" t="s">
        <v>198</v>
      </c>
      <c r="C195" s="33" t="s">
        <v>7</v>
      </c>
      <c r="D195" s="30">
        <v>4332</v>
      </c>
      <c r="E195" s="33" t="s">
        <v>8</v>
      </c>
      <c r="F195" s="30">
        <v>1</v>
      </c>
      <c r="G195" s="33" t="s">
        <v>9</v>
      </c>
      <c r="H195" s="30">
        <v>8</v>
      </c>
      <c r="I195" s="33" t="s">
        <v>10</v>
      </c>
      <c r="J195" s="30">
        <v>18</v>
      </c>
      <c r="K195" s="33" t="s">
        <v>11</v>
      </c>
      <c r="L195" s="36" t="str">
        <f t="shared" si="3"/>
        <v>update `parenting_daily_news_first`  set `pushTitle` ="带娃坐车别犯这8个错！关系生命安全，家长必看",`updateTime`  = now() WHERE `dnId` =4332and `ageYear`  =1and `ageMonth`  =8and `ageDay`  =18;</v>
      </c>
    </row>
    <row r="196" ht="54.75" customHeight="1" spans="1:12">
      <c r="A196" s="33" t="s">
        <v>5</v>
      </c>
      <c r="B196" s="24" t="s">
        <v>199</v>
      </c>
      <c r="C196" s="33" t="s">
        <v>7</v>
      </c>
      <c r="D196" s="30">
        <v>5971</v>
      </c>
      <c r="E196" s="33" t="s">
        <v>8</v>
      </c>
      <c r="F196" s="30">
        <v>1</v>
      </c>
      <c r="G196" s="33" t="s">
        <v>9</v>
      </c>
      <c r="H196" s="30">
        <v>8</v>
      </c>
      <c r="I196" s="33" t="s">
        <v>10</v>
      </c>
      <c r="J196" s="30">
        <v>19</v>
      </c>
      <c r="K196" s="33" t="s">
        <v>11</v>
      </c>
      <c r="L196" s="36" t="str">
        <f t="shared" si="3"/>
        <v>update `parenting_daily_news_first`  set `pushTitle` ="这3个常见习惯，正在悄悄改变孩子的脸型！很多家长可能还没意识到",`updateTime`  = now() WHERE `dnId` =5971and `ageYear`  =1and `ageMonth`  =8and `ageDay`  =19;</v>
      </c>
    </row>
    <row r="197" ht="41.25" customHeight="1" spans="1:12">
      <c r="A197" s="33" t="s">
        <v>5</v>
      </c>
      <c r="B197" s="24" t="s">
        <v>159</v>
      </c>
      <c r="C197" s="33" t="s">
        <v>7</v>
      </c>
      <c r="D197" s="30">
        <v>6283</v>
      </c>
      <c r="E197" s="33" t="s">
        <v>8</v>
      </c>
      <c r="F197" s="30">
        <v>1</v>
      </c>
      <c r="G197" s="33" t="s">
        <v>9</v>
      </c>
      <c r="H197" s="30">
        <v>8</v>
      </c>
      <c r="I197" s="33" t="s">
        <v>10</v>
      </c>
      <c r="J197" s="30">
        <v>2</v>
      </c>
      <c r="K197" s="33" t="s">
        <v>11</v>
      </c>
      <c r="L197" s="36" t="str">
        <f t="shared" si="3"/>
        <v>update `parenting_daily_news_first`  set `pushTitle` ="亲子关系影响宝宝一生！这2步，帮你筑牢爱的根基",`updateTime`  = now() WHERE `dnId` =6283and `ageYear`  =1and `ageMonth`  =8and `ageDay`  =2;</v>
      </c>
    </row>
    <row r="198" ht="54.75" customHeight="1" spans="1:12">
      <c r="A198" s="33" t="s">
        <v>5</v>
      </c>
      <c r="B198" s="24" t="s">
        <v>200</v>
      </c>
      <c r="C198" s="33" t="s">
        <v>7</v>
      </c>
      <c r="D198" s="30">
        <v>6318</v>
      </c>
      <c r="E198" s="33" t="s">
        <v>8</v>
      </c>
      <c r="F198" s="30">
        <v>1</v>
      </c>
      <c r="G198" s="33" t="s">
        <v>9</v>
      </c>
      <c r="H198" s="30">
        <v>8</v>
      </c>
      <c r="I198" s="33" t="s">
        <v>10</v>
      </c>
      <c r="J198" s="30">
        <v>6</v>
      </c>
      <c r="K198" s="33" t="s">
        <v>11</v>
      </c>
      <c r="L198" s="36" t="str">
        <f t="shared" si="3"/>
        <v>update `parenting_daily_news_first`  set `pushTitle` ="不想娃越大越难带？1岁后是立规矩黄金期！做好3步，省心好几年",`updateTime`  = now() WHERE `dnId` =6318and `ageYear`  =1and `ageMonth`  =8and `ageDay`  =6;</v>
      </c>
    </row>
    <row r="199" ht="54.75" customHeight="1" spans="1:12">
      <c r="A199" s="33" t="s">
        <v>5</v>
      </c>
      <c r="B199" s="24" t="s">
        <v>201</v>
      </c>
      <c r="C199" s="33" t="s">
        <v>7</v>
      </c>
      <c r="D199" s="30">
        <v>6229</v>
      </c>
      <c r="E199" s="33" t="s">
        <v>8</v>
      </c>
      <c r="F199" s="30">
        <v>1</v>
      </c>
      <c r="G199" s="33" t="s">
        <v>9</v>
      </c>
      <c r="H199" s="30">
        <v>8</v>
      </c>
      <c r="I199" s="33" t="s">
        <v>10</v>
      </c>
      <c r="J199" s="30">
        <v>7</v>
      </c>
      <c r="K199" s="33" t="s">
        <v>11</v>
      </c>
      <c r="L199" s="36" t="str">
        <f t="shared" si="3"/>
        <v>update `parenting_daily_news_first`  set `pushTitle` ="告别洗裤子和尿不湿！如厕训练🚽超细节4步攻略，顺序对了事半功倍",`updateTime`  = now() WHERE `dnId` =6229and `ageYear`  =1and `ageMonth`  =8and `ageDay`  =7;</v>
      </c>
    </row>
    <row r="200" ht="68.25" customHeight="1" spans="1:12">
      <c r="A200" s="33" t="s">
        <v>5</v>
      </c>
      <c r="B200" s="24" t="s">
        <v>178</v>
      </c>
      <c r="C200" s="33" t="s">
        <v>7</v>
      </c>
      <c r="D200" s="30">
        <v>5997</v>
      </c>
      <c r="E200" s="33" t="s">
        <v>8</v>
      </c>
      <c r="F200" s="30">
        <v>1</v>
      </c>
      <c r="G200" s="33" t="s">
        <v>9</v>
      </c>
      <c r="H200" s="30">
        <v>8</v>
      </c>
      <c r="I200" s="33" t="s">
        <v>10</v>
      </c>
      <c r="J200" s="30">
        <v>9</v>
      </c>
      <c r="K200" s="33" t="s">
        <v>11</v>
      </c>
      <c r="L200" s="36" t="str">
        <f t="shared" si="3"/>
        <v>update `parenting_daily_news_first`  set `pushTitle` ="宝宝便秘食物红黑榜：香蕉🍌可能加重，这几种才真正助排便！清单速收藏",`updateTime`  = now() WHERE `dnId` =5997and `ageYear`  =1and `ageMonth`  =8and `ageDay`  =9;</v>
      </c>
    </row>
    <row r="201" ht="54.75" customHeight="1" spans="1:12">
      <c r="A201" s="33" t="s">
        <v>5</v>
      </c>
      <c r="B201" s="24" t="s">
        <v>180</v>
      </c>
      <c r="C201" s="33" t="s">
        <v>7</v>
      </c>
      <c r="D201" s="30">
        <v>4052</v>
      </c>
      <c r="E201" s="33" t="s">
        <v>8</v>
      </c>
      <c r="F201" s="30">
        <v>1</v>
      </c>
      <c r="G201" s="33" t="s">
        <v>9</v>
      </c>
      <c r="H201" s="30">
        <v>9</v>
      </c>
      <c r="I201" s="33" t="s">
        <v>10</v>
      </c>
      <c r="J201" s="30">
        <v>2</v>
      </c>
      <c r="K201" s="33" t="s">
        <v>11</v>
      </c>
      <c r="L201" s="36" t="str">
        <f t="shared" si="3"/>
        <v>update `parenting_daily_news_first`  set `pushTitle` ="别再浪费钱！这个被包装成“儿童必检”的项目，多数孩子根本没必要做",`updateTime`  = now() WHERE `dnId` =4052and `ageYear`  =1and `ageMonth`  =9and `ageDay`  =2;</v>
      </c>
    </row>
    <row r="202" ht="54.75" customHeight="1" spans="1:12">
      <c r="A202" s="33" t="s">
        <v>5</v>
      </c>
      <c r="B202" s="24" t="s">
        <v>202</v>
      </c>
      <c r="C202" s="33" t="s">
        <v>7</v>
      </c>
      <c r="D202" s="30">
        <v>2217</v>
      </c>
      <c r="E202" s="33" t="s">
        <v>8</v>
      </c>
      <c r="F202" s="30">
        <v>1</v>
      </c>
      <c r="G202" s="33" t="s">
        <v>9</v>
      </c>
      <c r="H202" s="30">
        <v>9</v>
      </c>
      <c r="I202" s="33" t="s">
        <v>10</v>
      </c>
      <c r="J202" s="30">
        <v>6</v>
      </c>
      <c r="K202" s="33" t="s">
        <v>11</v>
      </c>
      <c r="L202" s="36" t="str">
        <f t="shared" si="3"/>
        <v>update `parenting_daily_news_first`  set `pushTitle` ="宝宝爱咬人≠有攻击性！这是成长的信号，看懂原因，3步轻松引导",`updateTime`  = now() WHERE `dnId` =2217and `ageYear`  =1and `ageMonth`  =9and `ageDay`  =6;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0" defaultRowHeight="16.5" customHeight="1"/>
  <cols>
    <col min="2" max="2" width="14.75" style="24" customWidth="1"/>
    <col min="4" max="4" width="10" style="30"/>
    <col min="6" max="6" width="10" style="30"/>
    <col min="8" max="8" width="10" style="30"/>
    <col min="10" max="10" width="10" style="30"/>
    <col min="12" max="12" width="73.375" customWidth="1"/>
  </cols>
  <sheetData>
    <row r="1" ht="18" spans="1:12">
      <c r="A1" s="31"/>
      <c r="B1" s="32" t="s">
        <v>0</v>
      </c>
      <c r="C1" s="31"/>
      <c r="D1" s="30" t="s">
        <v>1</v>
      </c>
      <c r="E1" s="31"/>
      <c r="F1" s="30" t="s">
        <v>2</v>
      </c>
      <c r="G1" s="31"/>
      <c r="H1" s="30" t="s">
        <v>3</v>
      </c>
      <c r="I1" s="31"/>
      <c r="J1" s="30" t="s">
        <v>4</v>
      </c>
      <c r="K1" s="31"/>
    </row>
    <row r="2" customHeight="1" spans="1:12">
      <c r="A2" s="33" t="s">
        <v>5</v>
      </c>
      <c r="B2" s="34" t="s">
        <v>203</v>
      </c>
      <c r="C2" s="33" t="s">
        <v>7</v>
      </c>
      <c r="D2" s="35">
        <v>6200</v>
      </c>
      <c r="E2" s="33" t="s">
        <v>8</v>
      </c>
      <c r="F2" s="35">
        <v>1</v>
      </c>
      <c r="G2" s="33" t="s">
        <v>9</v>
      </c>
      <c r="H2" s="35">
        <v>0</v>
      </c>
      <c r="I2" s="33" t="s">
        <v>10</v>
      </c>
      <c r="J2" s="35">
        <v>10</v>
      </c>
      <c r="K2" s="33" t="s">
        <v>11</v>
      </c>
      <c r="L2" s="36" t="str">
        <f t="shared" ref="L2:L65" si="0">A2&amp;B2&amp;C2&amp;D2&amp;E2&amp;F2&amp;G2&amp;H2&amp;I2&amp;J2&amp;K2</f>
        <v>update `parenting_daily_news_first`  set `pushTitle` ="想要避免宝宝以后追着喂饭、吃饭磨蹭、挑食……从现在开始做好这5件事",`updateTime`  = now() WHERE `dnId` =6200and `ageYear`  =1and `ageMonth`  =0and `ageDay`  =10;</v>
      </c>
    </row>
    <row r="3" customHeight="1" spans="1:12">
      <c r="A3" s="33" t="s">
        <v>5</v>
      </c>
      <c r="B3" s="34" t="s">
        <v>204</v>
      </c>
      <c r="C3" s="33" t="s">
        <v>7</v>
      </c>
      <c r="D3" s="35">
        <v>5955</v>
      </c>
      <c r="E3" s="33" t="s">
        <v>8</v>
      </c>
      <c r="F3" s="35">
        <v>1</v>
      </c>
      <c r="G3" s="33" t="s">
        <v>9</v>
      </c>
      <c r="H3" s="35">
        <v>0</v>
      </c>
      <c r="I3" s="33" t="s">
        <v>10</v>
      </c>
      <c r="J3" s="35">
        <v>13</v>
      </c>
      <c r="K3" s="33" t="s">
        <v>11</v>
      </c>
      <c r="L3" s="36" t="str">
        <f t="shared" si="0"/>
        <v>update `parenting_daily_news_first`  set `pushTitle` ="你给#baby#买的酱油真的适合吗？别只看“儿童”标签，按这5个标准挑选更靠谱",`updateTime`  = now() WHERE `dnId` =5955and `ageYear`  =1and `ageMonth`  =0and `ageDay`  =13;</v>
      </c>
    </row>
    <row r="4" customHeight="1" spans="1:12">
      <c r="A4" s="33" t="s">
        <v>5</v>
      </c>
      <c r="B4" s="34" t="s">
        <v>205</v>
      </c>
      <c r="C4" s="33" t="s">
        <v>7</v>
      </c>
      <c r="D4" s="35">
        <v>5957</v>
      </c>
      <c r="E4" s="33" t="s">
        <v>8</v>
      </c>
      <c r="F4" s="35">
        <v>1</v>
      </c>
      <c r="G4" s="33" t="s">
        <v>9</v>
      </c>
      <c r="H4" s="35">
        <v>0</v>
      </c>
      <c r="I4" s="33" t="s">
        <v>10</v>
      </c>
      <c r="J4" s="35">
        <v>15</v>
      </c>
      <c r="K4" s="33" t="s">
        <v>11</v>
      </c>
      <c r="L4" s="36" t="str">
        <f t="shared" si="0"/>
        <v>update `parenting_daily_news_first`  set `pushTitle` ="每天给#baby#刷牙，但你真的刷对了吗？用对方法，牙菌斑清除效果高3倍",`updateTime`  = now() WHERE `dnId` =5957and `ageYear`  =1and `ageMonth`  =0and `ageDay`  =15;</v>
      </c>
    </row>
    <row r="5" customHeight="1" spans="1:12">
      <c r="A5" s="33" t="s">
        <v>5</v>
      </c>
      <c r="B5" s="34" t="s">
        <v>206</v>
      </c>
      <c r="C5" s="33" t="s">
        <v>7</v>
      </c>
      <c r="D5" s="35">
        <v>2406</v>
      </c>
      <c r="E5" s="33" t="s">
        <v>8</v>
      </c>
      <c r="F5" s="35">
        <v>1</v>
      </c>
      <c r="G5" s="33" t="s">
        <v>9</v>
      </c>
      <c r="H5" s="35">
        <v>0</v>
      </c>
      <c r="I5" s="33" t="s">
        <v>10</v>
      </c>
      <c r="J5" s="35">
        <v>16</v>
      </c>
      <c r="K5" s="33" t="s">
        <v>11</v>
      </c>
      <c r="L5" s="36" t="str">
        <f t="shared" si="0"/>
        <v>update `parenting_daily_news_first`  set `pushTitle` ="#baby#会说1～2个词了吗？开口早晚和这3个原因有关，来看看怎么引导#ta#多开口",`updateTime`  = now() WHERE `dnId` =2406and `ageYear`  =1and `ageMonth`  =0and `ageDay`  =16;</v>
      </c>
    </row>
    <row r="6" customHeight="1" spans="1:12">
      <c r="A6" s="33" t="s">
        <v>5</v>
      </c>
      <c r="B6" s="34" t="s">
        <v>207</v>
      </c>
      <c r="C6" s="33" t="s">
        <v>7</v>
      </c>
      <c r="D6" s="35">
        <v>4568</v>
      </c>
      <c r="E6" s="33" t="s">
        <v>8</v>
      </c>
      <c r="F6" s="35">
        <v>1</v>
      </c>
      <c r="G6" s="33" t="s">
        <v>9</v>
      </c>
      <c r="H6" s="35">
        <v>0</v>
      </c>
      <c r="I6" s="33" t="s">
        <v>10</v>
      </c>
      <c r="J6" s="35">
        <v>17</v>
      </c>
      <c r="K6" s="33" t="s">
        <v>11</v>
      </c>
      <c r="L6" s="36" t="str">
        <f t="shared" si="0"/>
        <v>update `parenting_daily_news_first`  set `pushTitle` ="宝宝会走后出门反要抱？其实不是偷懒，而是这2个心理需求在“作祟”",`updateTime`  = now() WHERE `dnId` =4568and `ageYear`  =1and `ageMonth`  =0and `ageDay`  =17;</v>
      </c>
    </row>
    <row r="7" customHeight="1" spans="1:12">
      <c r="A7" s="33" t="s">
        <v>5</v>
      </c>
      <c r="B7" s="34" t="s">
        <v>208</v>
      </c>
      <c r="C7" s="33" t="s">
        <v>7</v>
      </c>
      <c r="D7" s="35">
        <v>5992</v>
      </c>
      <c r="E7" s="33" t="s">
        <v>8</v>
      </c>
      <c r="F7" s="35">
        <v>1</v>
      </c>
      <c r="G7" s="33" t="s">
        <v>9</v>
      </c>
      <c r="H7" s="35">
        <v>0</v>
      </c>
      <c r="I7" s="33" t="s">
        <v>10</v>
      </c>
      <c r="J7" s="35">
        <v>22</v>
      </c>
      <c r="K7" s="33" t="s">
        <v>11</v>
      </c>
      <c r="L7" s="36" t="str">
        <f t="shared" si="0"/>
        <v>update `parenting_daily_news_first`  set `pushTitle` ="#baby##relative#，#baby#做过1周岁的眼科检查了吗？卫健委建议必查项目，附自查清单",`updateTime`  = now() WHERE `dnId` =5992and `ageYear`  =1and `ageMonth`  =0and `ageDay`  =22;</v>
      </c>
    </row>
    <row r="8" customHeight="1" spans="1:12">
      <c r="A8" s="33" t="s">
        <v>5</v>
      </c>
      <c r="B8" s="34" t="s">
        <v>209</v>
      </c>
      <c r="C8" s="33" t="s">
        <v>7</v>
      </c>
      <c r="D8" s="35">
        <v>937</v>
      </c>
      <c r="E8" s="33" t="s">
        <v>8</v>
      </c>
      <c r="F8" s="35">
        <v>1</v>
      </c>
      <c r="G8" s="33" t="s">
        <v>9</v>
      </c>
      <c r="H8" s="35">
        <v>0</v>
      </c>
      <c r="I8" s="33" t="s">
        <v>10</v>
      </c>
      <c r="J8" s="35">
        <v>26</v>
      </c>
      <c r="K8" s="33" t="s">
        <v>11</v>
      </c>
      <c r="L8" s="36" t="str">
        <f t="shared" si="0"/>
        <v>update `parenting_daily_news_first`  set `pushTitle` ="陪玩比上班还累？7个简单小游戏，能让#baby#专注玩很久",`updateTime`  = now() WHERE `dnId` =937and `ageYear`  =1and `ageMonth`  =0and `ageDay`  =26;</v>
      </c>
    </row>
    <row r="9" customHeight="1" spans="1:12">
      <c r="A9" s="33" t="s">
        <v>5</v>
      </c>
      <c r="B9" s="34" t="s">
        <v>210</v>
      </c>
      <c r="C9" s="33" t="s">
        <v>7</v>
      </c>
      <c r="D9" s="35">
        <v>6248</v>
      </c>
      <c r="E9" s="33" t="s">
        <v>8</v>
      </c>
      <c r="F9" s="35">
        <v>1</v>
      </c>
      <c r="G9" s="33" t="s">
        <v>9</v>
      </c>
      <c r="H9" s="35">
        <v>0</v>
      </c>
      <c r="I9" s="33" t="s">
        <v>10</v>
      </c>
      <c r="J9" s="35">
        <v>6</v>
      </c>
      <c r="K9" s="33" t="s">
        <v>11</v>
      </c>
      <c r="L9" s="36" t="str">
        <f t="shared" si="0"/>
        <v>update `parenting_daily_news_first`  set `pushTitle` ="#baby#1岁后要报早教班吗？理清这3个问题，再做决定不后悔",`updateTime`  = now() WHERE `dnId` =6248and `ageYear`  =1and `ageMonth`  =0and `ageDay`  =6;</v>
      </c>
    </row>
    <row r="10" customHeight="1" spans="1:12">
      <c r="A10" s="33" t="s">
        <v>5</v>
      </c>
      <c r="B10" s="37" t="s">
        <v>211</v>
      </c>
      <c r="C10" s="33" t="s">
        <v>7</v>
      </c>
      <c r="D10" s="35">
        <v>5960</v>
      </c>
      <c r="E10" s="33" t="s">
        <v>8</v>
      </c>
      <c r="F10" s="35">
        <v>1</v>
      </c>
      <c r="G10" s="33" t="s">
        <v>9</v>
      </c>
      <c r="H10" s="35">
        <v>0</v>
      </c>
      <c r="I10" s="33" t="s">
        <v>10</v>
      </c>
      <c r="J10" s="35">
        <v>8</v>
      </c>
      <c r="K10" s="33" t="s">
        <v>11</v>
      </c>
      <c r="L10" s="36" t="str">
        <f t="shared" si="0"/>
        <v>update `parenting_daily_news_first`  set `pushTitle` ="孩子总是自己玩、说话晚，是内向还是自闭症？核心区别在这里",`updateTime`  = now() WHERE `dnId` =5960and `ageYear`  =1and `ageMonth`  =0and `ageDay`  =8;</v>
      </c>
    </row>
    <row r="11" customHeight="1" spans="1:12">
      <c r="A11" s="33" t="s">
        <v>5</v>
      </c>
      <c r="B11" s="34" t="s">
        <v>212</v>
      </c>
      <c r="C11" s="33" t="s">
        <v>7</v>
      </c>
      <c r="D11" s="35">
        <v>6121</v>
      </c>
      <c r="E11" s="33" t="s">
        <v>8</v>
      </c>
      <c r="F11" s="35">
        <v>1</v>
      </c>
      <c r="G11" s="33" t="s">
        <v>9</v>
      </c>
      <c r="H11" s="35">
        <v>0</v>
      </c>
      <c r="I11" s="33" t="s">
        <v>10</v>
      </c>
      <c r="J11" s="35">
        <v>9</v>
      </c>
      <c r="K11" s="33" t="s">
        <v>11</v>
      </c>
      <c r="L11" s="36" t="str">
        <f t="shared" si="0"/>
        <v>update `parenting_daily_news_first`  set `pushTitle` ="没忍住当着孩子的面吵架了？别自责，做好这3件事，能有效修复亲子关系",`updateTime`  = now() WHERE `dnId` =6121and `ageYear`  =1and `ageMonth`  =0and `ageDay`  =9;</v>
      </c>
    </row>
    <row r="12" customHeight="1" spans="1:12">
      <c r="A12" s="33" t="s">
        <v>5</v>
      </c>
      <c r="B12" s="34" t="s">
        <v>213</v>
      </c>
      <c r="C12" s="33" t="s">
        <v>7</v>
      </c>
      <c r="D12" s="35">
        <v>4217</v>
      </c>
      <c r="E12" s="33" t="s">
        <v>8</v>
      </c>
      <c r="F12" s="35">
        <v>1</v>
      </c>
      <c r="G12" s="33" t="s">
        <v>9</v>
      </c>
      <c r="H12" s="35">
        <v>10</v>
      </c>
      <c r="I12" s="33" t="s">
        <v>10</v>
      </c>
      <c r="J12" s="35">
        <v>0</v>
      </c>
      <c r="K12" s="33" t="s">
        <v>11</v>
      </c>
      <c r="L12" s="36" t="str">
        <f t="shared" si="0"/>
        <v>update `parenting_daily_news_first`  set `pushTitle` ="#baby#1岁10个月了，喜欢爬上爬下、看绘本吗？来看看这个阶段的发育特点和养育重点",`updateTime`  = now() WHERE `dnId` =4217and `ageYear`  =1and `ageMonth`  =10and `ageDay`  =0;</v>
      </c>
    </row>
    <row r="13" customHeight="1" spans="1:12">
      <c r="A13" s="33" t="s">
        <v>5</v>
      </c>
      <c r="B13" t="s">
        <v>214</v>
      </c>
      <c r="C13" s="33" t="s">
        <v>7</v>
      </c>
      <c r="D13" s="35">
        <v>6022</v>
      </c>
      <c r="E13" s="33" t="s">
        <v>8</v>
      </c>
      <c r="F13" s="35">
        <v>1</v>
      </c>
      <c r="G13" s="33" t="s">
        <v>9</v>
      </c>
      <c r="H13" s="35">
        <v>10</v>
      </c>
      <c r="I13" s="33" t="s">
        <v>10</v>
      </c>
      <c r="J13" s="35">
        <v>10</v>
      </c>
      <c r="K13" s="33" t="s">
        <v>11</v>
      </c>
      <c r="L13" s="36" t="str">
        <f t="shared" si="0"/>
        <v>update `parenting_daily_news_first`  set `pushTitle` ="#baby#马上2岁了，要进入脾气大、爱说“不要”的阶段了。提前读懂#ta#的小心思，平稳度过“叛逆期”",`updateTime`  = now() WHERE `dnId` =6022and `ageYear`  =1and `ageMonth`  =10and `ageDay`  =10;</v>
      </c>
    </row>
    <row r="14" customHeight="1" spans="1:12">
      <c r="A14" s="33" t="s">
        <v>5</v>
      </c>
      <c r="B14" t="s">
        <v>215</v>
      </c>
      <c r="C14" s="33" t="s">
        <v>7</v>
      </c>
      <c r="D14" s="35">
        <v>6094</v>
      </c>
      <c r="E14" s="33" t="s">
        <v>8</v>
      </c>
      <c r="F14" s="35">
        <v>1</v>
      </c>
      <c r="G14" s="33" t="s">
        <v>9</v>
      </c>
      <c r="H14" s="35">
        <v>10</v>
      </c>
      <c r="I14" s="33" t="s">
        <v>10</v>
      </c>
      <c r="J14" s="35">
        <v>13</v>
      </c>
      <c r="K14" s="33" t="s">
        <v>11</v>
      </c>
      <c r="L14" s="36" t="str">
        <f t="shared" si="0"/>
        <v>update `parenting_daily_news_first`  set `pushTitle` ="让#baby#像爱零食一样爱上蔬菜，这7个方法很管用，看看你有没有试过",`updateTime`  = now() WHERE `dnId` =6094and `ageYear`  =1and `ageMonth`  =10and `ageDay`  =13;</v>
      </c>
    </row>
    <row r="15" customHeight="1" spans="1:12">
      <c r="A15" s="33" t="s">
        <v>5</v>
      </c>
      <c r="B15" t="s">
        <v>216</v>
      </c>
      <c r="C15" s="33" t="s">
        <v>7</v>
      </c>
      <c r="D15" s="35">
        <v>6093</v>
      </c>
      <c r="E15" s="33" t="s">
        <v>8</v>
      </c>
      <c r="F15" s="35">
        <v>1</v>
      </c>
      <c r="G15" s="33" t="s">
        <v>9</v>
      </c>
      <c r="H15" s="35">
        <v>10</v>
      </c>
      <c r="I15" s="33" t="s">
        <v>10</v>
      </c>
      <c r="J15" s="35">
        <v>14</v>
      </c>
      <c r="K15" s="33" t="s">
        <v>11</v>
      </c>
      <c r="L15" s="36" t="str">
        <f t="shared" si="0"/>
        <v>update `parenting_daily_news_first`  set `pushTitle` ="#baby#马上进入语言发展关键期了，这份2～3岁必读绘本清单请收好，可以刺激语言与大脑发育",`updateTime`  = now() WHERE `dnId` =6093and `ageYear`  =1and `ageMonth`  =10and `ageDay`  =14;</v>
      </c>
    </row>
    <row r="16" customHeight="1" spans="1:12">
      <c r="A16" s="33" t="s">
        <v>5</v>
      </c>
      <c r="B16" t="s">
        <v>217</v>
      </c>
      <c r="C16" s="33" t="s">
        <v>7</v>
      </c>
      <c r="D16" s="35">
        <v>2511</v>
      </c>
      <c r="E16" s="33" t="s">
        <v>8</v>
      </c>
      <c r="F16" s="35">
        <v>1</v>
      </c>
      <c r="G16" s="33" t="s">
        <v>9</v>
      </c>
      <c r="H16" s="35">
        <v>10</v>
      </c>
      <c r="I16" s="33" t="s">
        <v>10</v>
      </c>
      <c r="J16" s="35">
        <v>3</v>
      </c>
      <c r="K16" s="33" t="s">
        <v>11</v>
      </c>
      <c r="L16" s="36" t="str">
        <f t="shared" si="0"/>
        <v>update `parenting_daily_news_first`  set `pushTitle` ="#baby#现在会自己穿脱外套、拉拉链吗？抓住自理能力关键期，附分龄引导技巧",`updateTime`  = now() WHERE `dnId` =2511and `ageYear`  =1and `ageMonth`  =10and `ageDay`  =3;</v>
      </c>
    </row>
    <row r="17" customHeight="1" spans="1:12">
      <c r="A17" s="33" t="s">
        <v>5</v>
      </c>
      <c r="B17" t="s">
        <v>218</v>
      </c>
      <c r="C17" s="33" t="s">
        <v>7</v>
      </c>
      <c r="D17" s="35">
        <v>2044</v>
      </c>
      <c r="E17" s="33" t="s">
        <v>8</v>
      </c>
      <c r="F17" s="35">
        <v>1</v>
      </c>
      <c r="G17" s="33" t="s">
        <v>9</v>
      </c>
      <c r="H17" s="35">
        <v>10</v>
      </c>
      <c r="I17" s="33" t="s">
        <v>10</v>
      </c>
      <c r="J17" s="35">
        <v>4</v>
      </c>
      <c r="K17" s="33" t="s">
        <v>11</v>
      </c>
      <c r="L17" s="36" t="str">
        <f t="shared" si="0"/>
        <v>update `parenting_daily_news_first`  set `pushTitle` ="想让#baby#更聪明？别只教数数，培养思维能力才是关键！6个实操方法速看",`updateTime`  = now() WHERE `dnId` =2044and `ageYear`  =1and `ageMonth`  =10and `ageDay`  =4;</v>
      </c>
    </row>
    <row r="18" customHeight="1" spans="1:12">
      <c r="A18" s="33" t="s">
        <v>5</v>
      </c>
      <c r="B18" t="s">
        <v>219</v>
      </c>
      <c r="C18" s="33" t="s">
        <v>7</v>
      </c>
      <c r="D18" s="35">
        <v>4218</v>
      </c>
      <c r="E18" s="33" t="s">
        <v>8</v>
      </c>
      <c r="F18" s="35">
        <v>1</v>
      </c>
      <c r="G18" s="33" t="s">
        <v>9</v>
      </c>
      <c r="H18" s="35">
        <v>11</v>
      </c>
      <c r="I18" s="33" t="s">
        <v>10</v>
      </c>
      <c r="J18" s="35">
        <v>0</v>
      </c>
      <c r="K18" s="33" t="s">
        <v>11</v>
      </c>
      <c r="L18" s="36" t="str">
        <f t="shared" si="0"/>
        <v>update `parenting_daily_news_first`  set `pushTitle` ="#baby#1岁11个月了，会双脚跳、给玩具排序吗？本月龄发育特点与养育重点在这里",`updateTime`  = now() WHERE `dnId` =4218and `ageYear`  =1and `ageMonth`  =11and `ageDay`  =0;</v>
      </c>
    </row>
    <row r="19" customHeight="1" spans="1:12">
      <c r="A19" s="33" t="s">
        <v>5</v>
      </c>
      <c r="B19" t="s">
        <v>220</v>
      </c>
      <c r="C19" s="33" t="s">
        <v>7</v>
      </c>
      <c r="D19" s="35">
        <v>890</v>
      </c>
      <c r="E19" s="33" t="s">
        <v>8</v>
      </c>
      <c r="F19" s="35">
        <v>1</v>
      </c>
      <c r="G19" s="33" t="s">
        <v>9</v>
      </c>
      <c r="H19" s="35">
        <v>11</v>
      </c>
      <c r="I19" s="33" t="s">
        <v>10</v>
      </c>
      <c r="J19" s="35">
        <v>15</v>
      </c>
      <c r="K19" s="33" t="s">
        <v>11</v>
      </c>
      <c r="L19" s="36" t="str">
        <f t="shared" si="0"/>
        <v>update `parenting_daily_news_first`  set `pushTitle` ="别只会对孩子说“不可以”！3个聪明的话术，轻松搞定2岁叛逆期",`updateTime`  = now() WHERE `dnId` =890and `ageYear`  =1and `ageMonth`  =11and `ageDay`  =15;</v>
      </c>
    </row>
    <row r="20" customHeight="1" spans="1:12">
      <c r="A20" s="33" t="s">
        <v>5</v>
      </c>
      <c r="B20" t="s">
        <v>221</v>
      </c>
      <c r="C20" s="33" t="s">
        <v>7</v>
      </c>
      <c r="D20" s="35">
        <v>2264</v>
      </c>
      <c r="E20" s="33" t="s">
        <v>8</v>
      </c>
      <c r="F20" s="35">
        <v>1</v>
      </c>
      <c r="G20" s="33" t="s">
        <v>9</v>
      </c>
      <c r="H20" s="35">
        <v>11</v>
      </c>
      <c r="I20" s="33" t="s">
        <v>10</v>
      </c>
      <c r="J20" s="35">
        <v>1</v>
      </c>
      <c r="K20" s="33" t="s">
        <v>11</v>
      </c>
      <c r="L20" s="36" t="str">
        <f t="shared" si="0"/>
        <v>update `parenting_daily_news_first`  set `pushTitle` ="陪#baby#不知道玩什么？10个创意小游戏，用家里常见物品就能玩，还能锻炼多项能力",`updateTime`  = now() WHERE `dnId` =2264and `ageYear`  =1and `ageMonth`  =11and `ageDay`  =1;</v>
      </c>
    </row>
    <row r="21" customHeight="1" spans="1:12">
      <c r="A21" s="33" t="s">
        <v>5</v>
      </c>
      <c r="B21" t="s">
        <v>222</v>
      </c>
      <c r="C21" s="33" t="s">
        <v>7</v>
      </c>
      <c r="D21" s="35">
        <v>1073</v>
      </c>
      <c r="E21" s="33" t="s">
        <v>8</v>
      </c>
      <c r="F21" s="35">
        <v>1</v>
      </c>
      <c r="G21" s="33" t="s">
        <v>9</v>
      </c>
      <c r="H21" s="35">
        <v>11</v>
      </c>
      <c r="I21" s="33" t="s">
        <v>10</v>
      </c>
      <c r="J21" s="35">
        <v>21</v>
      </c>
      <c r="K21" s="33" t="s">
        <v>11</v>
      </c>
      <c r="L21" s="36" t="str">
        <f t="shared" si="0"/>
        <v>update `parenting_daily_news_first`  set `pushTitle` ="宝宝玩什么都三分钟热度？“热心指导”可能会破坏#ta#的专注力，正确做法看这里",`updateTime`  = now() WHERE `dnId` =1073and `ageYear`  =1and `ageMonth`  =11and `ageDay`  =21;</v>
      </c>
    </row>
    <row r="22" customHeight="1" spans="1:12">
      <c r="A22" s="33" t="s">
        <v>5</v>
      </c>
      <c r="B22" t="s">
        <v>223</v>
      </c>
      <c r="C22" s="33" t="s">
        <v>7</v>
      </c>
      <c r="D22" s="35">
        <v>115</v>
      </c>
      <c r="E22" s="33" t="s">
        <v>8</v>
      </c>
      <c r="F22" s="35">
        <v>1</v>
      </c>
      <c r="G22" s="33" t="s">
        <v>9</v>
      </c>
      <c r="H22" s="35">
        <v>11</v>
      </c>
      <c r="I22" s="33" t="s">
        <v>10</v>
      </c>
      <c r="J22" s="35">
        <v>6</v>
      </c>
      <c r="K22" s="33" t="s">
        <v>11</v>
      </c>
      <c r="L22" s="36" t="str">
        <f t="shared" si="0"/>
        <v>update `parenting_daily_news_first`  set `pushTitle` ="宝宝总说“不”、一秒变脸、撒泼打滚？“可怕2岁”来了，2步教你轻松应对",`updateTime`  = now() WHERE `dnId` =115and `ageYear`  =1and `ageMonth`  =11and `ageDay`  =6;</v>
      </c>
    </row>
    <row r="23" customHeight="1" spans="1:12">
      <c r="A23" s="33" t="s">
        <v>5</v>
      </c>
      <c r="B23" t="s">
        <v>224</v>
      </c>
      <c r="C23" s="33" t="s">
        <v>7</v>
      </c>
      <c r="D23" s="35">
        <v>4558</v>
      </c>
      <c r="E23" s="33" t="s">
        <v>8</v>
      </c>
      <c r="F23" s="35">
        <v>1</v>
      </c>
      <c r="G23" s="33" t="s">
        <v>9</v>
      </c>
      <c r="H23" s="35">
        <v>1</v>
      </c>
      <c r="I23" s="33" t="s">
        <v>10</v>
      </c>
      <c r="J23" s="35">
        <v>10</v>
      </c>
      <c r="K23" s="33" t="s">
        <v>11</v>
      </c>
      <c r="L23" s="36" t="str">
        <f t="shared" si="0"/>
        <v>update `parenting_daily_news_first`  set `pushTitle` ="你给#baby#每天吃多少水果？对照各月龄推荐量自查，吃多可能影响正餐、导致肥胖",`updateTime`  = now() WHERE `dnId` =4558and `ageYear`  =1and `ageMonth`  =1and `ageDay`  =10;</v>
      </c>
    </row>
    <row r="24" customHeight="1" spans="1:12">
      <c r="A24" s="33" t="s">
        <v>5</v>
      </c>
      <c r="B24" t="s">
        <v>225</v>
      </c>
      <c r="C24" s="33" t="s">
        <v>7</v>
      </c>
      <c r="D24" s="35">
        <v>6327</v>
      </c>
      <c r="E24" s="33" t="s">
        <v>8</v>
      </c>
      <c r="F24" s="35">
        <v>1</v>
      </c>
      <c r="G24" s="33" t="s">
        <v>9</v>
      </c>
      <c r="H24" s="35">
        <v>1</v>
      </c>
      <c r="I24" s="33" t="s">
        <v>10</v>
      </c>
      <c r="J24" s="35">
        <v>12</v>
      </c>
      <c r="K24" s="33" t="s">
        <v>11</v>
      </c>
      <c r="L24" s="36" t="str">
        <f t="shared" si="0"/>
        <v>update `parenting_daily_news_first`  set `pushTitle` ="不知道怎么陪#baby#玩？试试「哈佛五步互动法」，每天几分钟，刺激大脑发育",`updateTime`  = now() WHERE `dnId` =6327and `ageYear`  =1and `ageMonth`  =1and `ageDay`  =12;</v>
      </c>
    </row>
    <row r="25" customHeight="1" spans="1:12">
      <c r="A25" s="33" t="s">
        <v>5</v>
      </c>
      <c r="B25" t="s">
        <v>226</v>
      </c>
      <c r="C25" s="33" t="s">
        <v>7</v>
      </c>
      <c r="D25" s="35">
        <v>2081</v>
      </c>
      <c r="E25" s="33" t="s">
        <v>8</v>
      </c>
      <c r="F25" s="35">
        <v>1</v>
      </c>
      <c r="G25" s="33" t="s">
        <v>9</v>
      </c>
      <c r="H25" s="35">
        <v>1</v>
      </c>
      <c r="I25" s="33" t="s">
        <v>10</v>
      </c>
      <c r="J25" s="35">
        <v>14</v>
      </c>
      <c r="K25" s="33" t="s">
        <v>11</v>
      </c>
      <c r="L25" s="36" t="str">
        <f t="shared" si="0"/>
        <v>update `parenting_daily_news_first`  set `pushTitle` ="宝宝爱抢玩具、不愿分享？这是培养物权意识的关键期，这样做比强迫分享更有效",`updateTime`  = now() WHERE `dnId` =2081and `ageYear`  =1and `ageMonth`  =1and `ageDay`  =14;</v>
      </c>
    </row>
    <row r="26" customHeight="1" spans="1:12">
      <c r="A26" s="33" t="s">
        <v>5</v>
      </c>
      <c r="B26" t="s">
        <v>227</v>
      </c>
      <c r="C26" s="33" t="s">
        <v>7</v>
      </c>
      <c r="D26" s="35">
        <v>5912</v>
      </c>
      <c r="E26" s="33" t="s">
        <v>8</v>
      </c>
      <c r="F26" s="35">
        <v>1</v>
      </c>
      <c r="G26" s="33" t="s">
        <v>9</v>
      </c>
      <c r="H26" s="35">
        <v>1</v>
      </c>
      <c r="I26" s="33" t="s">
        <v>10</v>
      </c>
      <c r="J26" s="35">
        <v>15</v>
      </c>
      <c r="K26" s="33" t="s">
        <v>11</v>
      </c>
      <c r="L26" s="36" t="str">
        <f t="shared" si="0"/>
        <v>update `parenting_daily_news_first`  set `pushTitle` ="快检查你给#baby#买的零食！如果有这些成分，相当于在喂“隐形糖”",`updateTime`  = now() WHERE `dnId` =5912and `ageYear`  =1and `ageMonth`  =1and `ageDay`  =15;</v>
      </c>
    </row>
    <row r="27" customHeight="1" spans="1:12">
      <c r="A27" s="33" t="s">
        <v>5</v>
      </c>
      <c r="B27" t="s">
        <v>228</v>
      </c>
      <c r="C27" s="33" t="s">
        <v>7</v>
      </c>
      <c r="D27" s="35">
        <v>6015</v>
      </c>
      <c r="E27" s="33" t="s">
        <v>8</v>
      </c>
      <c r="F27" s="35">
        <v>1</v>
      </c>
      <c r="G27" s="33" t="s">
        <v>9</v>
      </c>
      <c r="H27" s="35">
        <v>1</v>
      </c>
      <c r="I27" s="33" t="s">
        <v>10</v>
      </c>
      <c r="J27" s="35">
        <v>17</v>
      </c>
      <c r="K27" s="33" t="s">
        <v>11</v>
      </c>
      <c r="L27" s="36" t="str">
        <f t="shared" si="0"/>
        <v>update `parenting_daily_news_first`  set `pushTitle` ="宝宝整天玩锅碗瓢盆、抽纸、遥控器？其实是好事！抓住机会引导，不花钱也能玩出聪明大脑",`updateTime`  = now() WHERE `dnId` =6015and `ageYear`  =1and `ageMonth`  =1and `ageDay`  =17;</v>
      </c>
    </row>
    <row r="28" customHeight="1" spans="1:12">
      <c r="A28" s="33" t="s">
        <v>5</v>
      </c>
      <c r="B28" t="s">
        <v>229</v>
      </c>
      <c r="C28" s="33" t="s">
        <v>7</v>
      </c>
      <c r="D28" s="35">
        <v>2249</v>
      </c>
      <c r="E28" s="33" t="s">
        <v>8</v>
      </c>
      <c r="F28" s="35">
        <v>1</v>
      </c>
      <c r="G28" s="33" t="s">
        <v>9</v>
      </c>
      <c r="H28" s="35">
        <v>1</v>
      </c>
      <c r="I28" s="33" t="s">
        <v>10</v>
      </c>
      <c r="J28" s="35">
        <v>18</v>
      </c>
      <c r="K28" s="33" t="s">
        <v>11</v>
      </c>
      <c r="L28" s="36" t="str">
        <f t="shared" si="0"/>
        <v>update `parenting_daily_news_first`  set `pushTitle` ="1岁宝宝绘本怎么选？照着4个标准挑选，附经典书单和避坑提醒",`updateTime`  = now() WHERE `dnId` =2249and `ageYear`  =1and `ageMonth`  =1and `ageDay`  =18;</v>
      </c>
    </row>
    <row r="29" customHeight="1" spans="1:12">
      <c r="A29" s="33" t="s">
        <v>5</v>
      </c>
      <c r="B29" t="s">
        <v>230</v>
      </c>
      <c r="C29" s="33" t="s">
        <v>7</v>
      </c>
      <c r="D29" s="35">
        <v>177</v>
      </c>
      <c r="E29" s="33" t="s">
        <v>8</v>
      </c>
      <c r="F29" s="35">
        <v>1</v>
      </c>
      <c r="G29" s="33" t="s">
        <v>9</v>
      </c>
      <c r="H29" s="35">
        <v>1</v>
      </c>
      <c r="I29" s="33" t="s">
        <v>10</v>
      </c>
      <c r="J29" s="35">
        <v>19</v>
      </c>
      <c r="K29" s="33" t="s">
        <v>11</v>
      </c>
      <c r="L29" s="36" t="str">
        <f t="shared" si="0"/>
        <v>update `parenting_daily_news_first`  set `pushTitle` ="不报班、不花钱，一张纸每天和#baby#玩10分钟，轻松锻炼专注力、创造力",`updateTime`  = now() WHERE `dnId` =177and `ageYear`  =1and `ageMonth`  =1and `ageDay`  =19;</v>
      </c>
    </row>
    <row r="30" customHeight="1" spans="1:12">
      <c r="A30" s="33" t="s">
        <v>5</v>
      </c>
      <c r="B30" t="s">
        <v>231</v>
      </c>
      <c r="C30" s="33" t="s">
        <v>7</v>
      </c>
      <c r="D30" s="35">
        <v>5917</v>
      </c>
      <c r="E30" s="33" t="s">
        <v>8</v>
      </c>
      <c r="F30" s="35">
        <v>1</v>
      </c>
      <c r="G30" s="33" t="s">
        <v>9</v>
      </c>
      <c r="H30" s="35">
        <v>1</v>
      </c>
      <c r="I30" s="33" t="s">
        <v>10</v>
      </c>
      <c r="J30" s="35">
        <v>1</v>
      </c>
      <c r="K30" s="33" t="s">
        <v>11</v>
      </c>
      <c r="L30" s="36" t="str">
        <f t="shared" si="0"/>
        <v>update `parenting_daily_news_first`  set `pushTitle` ="总是发愁#baby#“今天吃什么”？记住这个简单公式，每天轻松吃够12种食物",`updateTime`  = now() WHERE `dnId` =5917and `ageYear`  =1and `ageMonth`  =1and `ageDay`  =1;</v>
      </c>
    </row>
    <row r="31" customHeight="1" spans="1:12">
      <c r="A31" s="33" t="s">
        <v>5</v>
      </c>
      <c r="B31" t="s">
        <v>232</v>
      </c>
      <c r="C31" s="33" t="s">
        <v>7</v>
      </c>
      <c r="D31" s="35">
        <v>609</v>
      </c>
      <c r="E31" s="33" t="s">
        <v>8</v>
      </c>
      <c r="F31" s="35">
        <v>1</v>
      </c>
      <c r="G31" s="33" t="s">
        <v>9</v>
      </c>
      <c r="H31" s="35">
        <v>1</v>
      </c>
      <c r="I31" s="33" t="s">
        <v>10</v>
      </c>
      <c r="J31" s="35">
        <v>20</v>
      </c>
      <c r="K31" s="33" t="s">
        <v>11</v>
      </c>
      <c r="L31" s="36" t="str">
        <f t="shared" si="0"/>
        <v>update `parenting_daily_news_first`  set `pushTitle` ="1岁宝宝买什么玩具？3类真正益智的玩具推荐，附各月龄创意玩法",`updateTime`  = now() WHERE `dnId` =609and `ageYear`  =1and `ageMonth`  =1and `ageDay`  =20;</v>
      </c>
    </row>
    <row r="32" customHeight="1" spans="1:12">
      <c r="A32" s="33" t="s">
        <v>5</v>
      </c>
      <c r="B32" t="s">
        <v>233</v>
      </c>
      <c r="C32" s="33" t="s">
        <v>7</v>
      </c>
      <c r="D32" s="35">
        <v>5920</v>
      </c>
      <c r="E32" s="33" t="s">
        <v>8</v>
      </c>
      <c r="F32" s="35">
        <v>1</v>
      </c>
      <c r="G32" s="33" t="s">
        <v>9</v>
      </c>
      <c r="H32" s="35">
        <v>1</v>
      </c>
      <c r="I32" s="33" t="s">
        <v>10</v>
      </c>
      <c r="J32" s="35">
        <v>26</v>
      </c>
      <c r="K32" s="33" t="s">
        <v>11</v>
      </c>
      <c r="L32" s="36" t="str">
        <f t="shared" si="0"/>
        <v>update `parenting_daily_news_first`  set `pushTitle` ="预防蛀牙，光刷牙可能不够，定期带#baby#涂氟才是双保险，快来看看几岁涂、怎么涂、要注意什么",`updateTime`  = now() WHERE `dnId` =5920and `ageYear`  =1and `ageMonth`  =1and `ageDay`  =26;</v>
      </c>
    </row>
    <row r="33" customHeight="1" spans="1:12">
      <c r="A33" s="33" t="s">
        <v>5</v>
      </c>
      <c r="B33" t="s">
        <v>234</v>
      </c>
      <c r="C33" s="33" t="s">
        <v>7</v>
      </c>
      <c r="D33" s="35">
        <v>6066</v>
      </c>
      <c r="E33" s="33" t="s">
        <v>8</v>
      </c>
      <c r="F33" s="35">
        <v>1</v>
      </c>
      <c r="G33" s="33" t="s">
        <v>9</v>
      </c>
      <c r="H33" s="35">
        <v>1</v>
      </c>
      <c r="I33" s="33" t="s">
        <v>10</v>
      </c>
      <c r="J33" s="35">
        <v>2</v>
      </c>
      <c r="K33" s="33" t="s">
        <v>11</v>
      </c>
      <c r="L33" s="36" t="str">
        <f t="shared" si="0"/>
        <v>update `parenting_daily_news_first`  set `pushTitle` ="#baby#的语言爆发期来了！别光“多说话”，掌握3个核心方法，让#ta#表达力直线上升",`updateTime`  = now() WHERE `dnId` =6066and `ageYear`  =1and `ageMonth`  =1and `ageDay`  =2;</v>
      </c>
    </row>
    <row r="34" customHeight="1" spans="1:12">
      <c r="A34" s="33" t="s">
        <v>5</v>
      </c>
      <c r="B34" t="s">
        <v>235</v>
      </c>
      <c r="C34" s="33" t="s">
        <v>7</v>
      </c>
      <c r="D34" s="35">
        <v>5910</v>
      </c>
      <c r="E34" s="33" t="s">
        <v>8</v>
      </c>
      <c r="F34" s="35">
        <v>1</v>
      </c>
      <c r="G34" s="33" t="s">
        <v>9</v>
      </c>
      <c r="H34" s="35">
        <v>1</v>
      </c>
      <c r="I34" s="33" t="s">
        <v>10</v>
      </c>
      <c r="J34" s="35">
        <v>3</v>
      </c>
      <c r="K34" s="33" t="s">
        <v>11</v>
      </c>
      <c r="L34" s="36" t="str">
        <f t="shared" si="0"/>
        <v>update `parenting_daily_news_first`  set `pushTitle` ="宝宝走路有点O型腿？别慌，1岁半前大多正常，来看看几岁会自己变直",`updateTime`  = now() WHERE `dnId` =5910and `ageYear`  =1and `ageMonth`  =1and `ageDay`  =3;</v>
      </c>
    </row>
    <row r="35" customHeight="1" spans="1:12">
      <c r="A35" s="33" t="s">
        <v>5</v>
      </c>
      <c r="B35" t="s">
        <v>236</v>
      </c>
      <c r="C35" s="33" t="s">
        <v>7</v>
      </c>
      <c r="D35" s="35">
        <v>2386</v>
      </c>
      <c r="E35" s="33" t="s">
        <v>8</v>
      </c>
      <c r="F35" s="35">
        <v>1</v>
      </c>
      <c r="G35" s="33" t="s">
        <v>9</v>
      </c>
      <c r="H35" s="35">
        <v>1</v>
      </c>
      <c r="I35" s="33" t="s">
        <v>10</v>
      </c>
      <c r="J35" s="35">
        <v>6</v>
      </c>
      <c r="K35" s="33" t="s">
        <v>11</v>
      </c>
      <c r="L35" s="36" t="str">
        <f t="shared" si="0"/>
        <v>update `parenting_daily_news_first`  set `pushTitle` ="13个月的宝宝一般会说几个词？对照这份语言发育特点，帮#baby#提升表达能力",`updateTime`  = now() WHERE `dnId` =2386and `ageYear`  =1and `ageMonth`  =1and `ageDay`  =6;</v>
      </c>
    </row>
    <row r="36" customHeight="1" spans="1:12">
      <c r="A36" s="33" t="s">
        <v>5</v>
      </c>
      <c r="B36" t="s">
        <v>237</v>
      </c>
      <c r="C36" s="33" t="s">
        <v>7</v>
      </c>
      <c r="D36" s="35">
        <v>4209</v>
      </c>
      <c r="E36" s="33" t="s">
        <v>8</v>
      </c>
      <c r="F36" s="35">
        <v>1</v>
      </c>
      <c r="G36" s="33" t="s">
        <v>9</v>
      </c>
      <c r="H36" s="35">
        <v>2</v>
      </c>
      <c r="I36" s="33" t="s">
        <v>10</v>
      </c>
      <c r="J36" s="35">
        <v>0</v>
      </c>
      <c r="K36" s="33" t="s">
        <v>11</v>
      </c>
      <c r="L36" s="36" t="str">
        <f t="shared" si="0"/>
        <v>update `parenting_daily_news_first`  set `pushTitle` ="#baby#1岁2个月了，会指认五官、配合穿衣服了吗？快来看看这个月要重点培养的能力",`updateTime`  = now() WHERE `dnId` =4209and `ageYear`  =1and `ageMonth`  =2and `ageDay`  =0;</v>
      </c>
    </row>
    <row r="37" customHeight="1" spans="1:12">
      <c r="A37" s="33" t="s">
        <v>5</v>
      </c>
      <c r="B37" t="s">
        <v>238</v>
      </c>
      <c r="C37" s="33" t="s">
        <v>7</v>
      </c>
      <c r="D37" s="35">
        <v>6298</v>
      </c>
      <c r="E37" s="33" t="s">
        <v>8</v>
      </c>
      <c r="F37" s="35">
        <v>1</v>
      </c>
      <c r="G37" s="33" t="s">
        <v>9</v>
      </c>
      <c r="H37" s="35">
        <v>2</v>
      </c>
      <c r="I37" s="33" t="s">
        <v>10</v>
      </c>
      <c r="J37" s="35">
        <v>12</v>
      </c>
      <c r="K37" s="33" t="s">
        <v>11</v>
      </c>
      <c r="L37" s="36" t="str">
        <f t="shared" si="0"/>
        <v>update `parenting_daily_news_first`  set `pushTitle` ="高质量陪伴不等于全天守着！这2个关键点没做到，陪再久也效果甚微",`updateTime`  = now() WHERE `dnId` =6298and `ageYear`  =1and `ageMonth`  =2and `ageDay`  =12;</v>
      </c>
    </row>
    <row r="38" customHeight="1" spans="1:12">
      <c r="A38" s="33" t="s">
        <v>5</v>
      </c>
      <c r="B38" t="s">
        <v>239</v>
      </c>
      <c r="C38" s="33" t="s">
        <v>7</v>
      </c>
      <c r="D38" s="35">
        <v>4100</v>
      </c>
      <c r="E38" s="33" t="s">
        <v>8</v>
      </c>
      <c r="F38" s="35">
        <v>1</v>
      </c>
      <c r="G38" s="33" t="s">
        <v>9</v>
      </c>
      <c r="H38" s="35">
        <v>2</v>
      </c>
      <c r="I38" s="33" t="s">
        <v>10</v>
      </c>
      <c r="J38" s="35">
        <v>18</v>
      </c>
      <c r="K38" s="33" t="s">
        <v>11</v>
      </c>
      <c r="L38" s="36" t="str">
        <f t="shared" si="0"/>
        <v>update `parenting_daily_news_first`  set `pushTitle` ="别把音乐启蒙想复杂了！一个空盒子、一根橡皮筋，就能提升#baby#的节奏感",`updateTime`  = now() WHERE `dnId` =4100and `ageYear`  =1and `ageMonth`  =2and `ageDay`  =18;</v>
      </c>
    </row>
    <row r="39" customHeight="1" spans="1:12">
      <c r="A39" s="33" t="s">
        <v>5</v>
      </c>
      <c r="B39" t="s">
        <v>240</v>
      </c>
      <c r="C39" s="33" t="s">
        <v>7</v>
      </c>
      <c r="D39" s="35">
        <v>6016</v>
      </c>
      <c r="E39" s="33" t="s">
        <v>8</v>
      </c>
      <c r="F39" s="35">
        <v>1</v>
      </c>
      <c r="G39" s="33" t="s">
        <v>9</v>
      </c>
      <c r="H39" s="35">
        <v>2</v>
      </c>
      <c r="I39" s="33" t="s">
        <v>10</v>
      </c>
      <c r="J39" s="35">
        <v>23</v>
      </c>
      <c r="K39" s="33" t="s">
        <v>11</v>
      </c>
      <c r="L39" s="36" t="str">
        <f t="shared" si="0"/>
        <v>update `parenting_daily_news_first`  set `pushTitle` ="为什么宝宝都爱脱袜子？别急着穿回去，这可能是发育好的信号",`updateTime`  = now() WHERE `dnId` =6016and `ageYear`  =1and `ageMonth`  =2and `ageDay`  =23;</v>
      </c>
    </row>
    <row r="40" customHeight="1" spans="1:12">
      <c r="A40" s="33" t="s">
        <v>5</v>
      </c>
      <c r="B40" t="s">
        <v>241</v>
      </c>
      <c r="C40" s="33" t="s">
        <v>7</v>
      </c>
      <c r="D40" s="35">
        <v>4051</v>
      </c>
      <c r="E40" s="33" t="s">
        <v>8</v>
      </c>
      <c r="F40" s="35">
        <v>1</v>
      </c>
      <c r="G40" s="33" t="s">
        <v>9</v>
      </c>
      <c r="H40" s="35">
        <v>2</v>
      </c>
      <c r="I40" s="33" t="s">
        <v>10</v>
      </c>
      <c r="J40" s="35">
        <v>28</v>
      </c>
      <c r="K40" s="33" t="s">
        <v>11</v>
      </c>
      <c r="L40" s="36" t="str">
        <f t="shared" si="0"/>
        <v>update `parenting_daily_news_first`  set `pushTitle` ="孩子禁用、慎用的抗生素名单，赶紧收藏！用错可能伤听力、损肾脏",`updateTime`  = now() WHERE `dnId` =4051and `ageYear`  =1and `ageMonth`  =2and `ageDay`  =28;</v>
      </c>
    </row>
    <row r="41" customHeight="1" spans="1:12">
      <c r="A41" s="33" t="s">
        <v>5</v>
      </c>
      <c r="B41" t="s">
        <v>242</v>
      </c>
      <c r="C41" s="33" t="s">
        <v>7</v>
      </c>
      <c r="D41" s="35">
        <v>2168</v>
      </c>
      <c r="E41" s="33" t="s">
        <v>8</v>
      </c>
      <c r="F41" s="35">
        <v>1</v>
      </c>
      <c r="G41" s="33" t="s">
        <v>9</v>
      </c>
      <c r="H41" s="35">
        <v>2</v>
      </c>
      <c r="I41" s="33" t="s">
        <v>10</v>
      </c>
      <c r="J41" s="35">
        <v>4</v>
      </c>
      <c r="K41" s="33" t="s">
        <v>11</v>
      </c>
      <c r="L41" s="36" t="str">
        <f t="shared" si="0"/>
        <v>update `parenting_daily_news_first`  set `pushTitle` ="1～2岁宝宝必玩！这7个益智游戏清单，玩出专注力+逻辑思维",`updateTime`  = now() WHERE `dnId` =2168and `ageYear`  =1and `ageMonth`  =2and `ageDay`  =4;</v>
      </c>
    </row>
    <row r="42" customHeight="1" spans="1:12">
      <c r="A42" s="33" t="s">
        <v>5</v>
      </c>
      <c r="B42" t="s">
        <v>243</v>
      </c>
      <c r="C42" s="33" t="s">
        <v>7</v>
      </c>
      <c r="D42" s="35">
        <v>5945</v>
      </c>
      <c r="E42" s="33" t="s">
        <v>8</v>
      </c>
      <c r="F42" s="35">
        <v>1</v>
      </c>
      <c r="G42" s="33" t="s">
        <v>9</v>
      </c>
      <c r="H42" s="35">
        <v>2</v>
      </c>
      <c r="I42" s="33" t="s">
        <v>10</v>
      </c>
      <c r="J42" s="35">
        <v>5</v>
      </c>
      <c r="K42" s="33" t="s">
        <v>11</v>
      </c>
      <c r="L42" s="36" t="str">
        <f t="shared" si="0"/>
        <v>update `parenting_daily_news_first`  set `pushTitle` ="牙医提醒：儿童牙膏别瞎买！尤其含这3种成分的，伤牙还刺激，附安全对照表",`updateTime`  = now() WHERE `dnId` =5945and `ageYear`  =1and `ageMonth`  =2and `ageDay`  =5;</v>
      </c>
    </row>
    <row r="43" customHeight="1" spans="1:12">
      <c r="A43" s="33" t="s">
        <v>5</v>
      </c>
      <c r="B43" t="s">
        <v>244</v>
      </c>
      <c r="C43" s="33" t="s">
        <v>7</v>
      </c>
      <c r="D43" s="35">
        <v>2270</v>
      </c>
      <c r="E43" s="33" t="s">
        <v>8</v>
      </c>
      <c r="F43" s="35">
        <v>1</v>
      </c>
      <c r="G43" s="33" t="s">
        <v>9</v>
      </c>
      <c r="H43" s="35">
        <v>2</v>
      </c>
      <c r="I43" s="33" t="s">
        <v>10</v>
      </c>
      <c r="J43" s="35">
        <v>6</v>
      </c>
      <c r="K43" s="33" t="s">
        <v>11</v>
      </c>
      <c r="L43" s="36" t="str">
        <f t="shared" si="0"/>
        <v>update `parenting_daily_news_first`  set `pushTitle` ="1岁后社交能力这样培养，娃上幼儿园不担心，自信大方受欢迎",`updateTime`  = now() WHERE `dnId` =2270and `ageYear`  =1and `ageMonth`  =2and `ageDay`  =6;</v>
      </c>
    </row>
    <row r="44" customHeight="1" spans="1:12">
      <c r="A44" s="33" t="s">
        <v>5</v>
      </c>
      <c r="B44" t="s">
        <v>245</v>
      </c>
      <c r="C44" s="33" t="s">
        <v>7</v>
      </c>
      <c r="D44" s="35">
        <v>930</v>
      </c>
      <c r="E44" s="33" t="s">
        <v>8</v>
      </c>
      <c r="F44" s="35">
        <v>1</v>
      </c>
      <c r="G44" s="33" t="s">
        <v>9</v>
      </c>
      <c r="H44" s="35">
        <v>2</v>
      </c>
      <c r="I44" s="33" t="s">
        <v>10</v>
      </c>
      <c r="J44" s="35">
        <v>7</v>
      </c>
      <c r="K44" s="33" t="s">
        <v>11</v>
      </c>
      <c r="L44" s="36" t="str">
        <f t="shared" si="0"/>
        <v>update `parenting_daily_news_first`  set `pushTitle` ="想培养“心灵手巧”的娃？1～2岁在家玩这6个游戏，开发大脑超简单",`updateTime`  = now() WHERE `dnId` =930and `ageYear`  =1and `ageMonth`  =2and `ageDay`  =7;</v>
      </c>
    </row>
    <row r="45" customHeight="1" spans="1:12">
      <c r="A45" s="33" t="s">
        <v>5</v>
      </c>
      <c r="B45" t="s">
        <v>146</v>
      </c>
      <c r="C45" s="33" t="s">
        <v>7</v>
      </c>
      <c r="D45" s="35">
        <v>2289</v>
      </c>
      <c r="E45" s="33" t="s">
        <v>8</v>
      </c>
      <c r="F45" s="35">
        <v>1</v>
      </c>
      <c r="G45" s="33" t="s">
        <v>9</v>
      </c>
      <c r="H45" s="35">
        <v>3</v>
      </c>
      <c r="I45" s="33" t="s">
        <v>10</v>
      </c>
      <c r="J45" s="35">
        <v>26</v>
      </c>
      <c r="K45" s="33" t="s">
        <v>11</v>
      </c>
      <c r="L45" s="36" t="str">
        <f t="shared" si="0"/>
        <v>update `parenting_daily_news_first`  set `pushTitle` ="宝宝好动≠难带，太安静≠省心，两种性格带法大不同",`updateTime`  = now() WHERE `dnId` =2289and `ageYear`  =1and `ageMonth`  =3and `ageDay`  =26;</v>
      </c>
    </row>
    <row r="46" customHeight="1" spans="1:12">
      <c r="A46" s="33" t="s">
        <v>5</v>
      </c>
      <c r="B46" t="s">
        <v>148</v>
      </c>
      <c r="C46" s="33" t="s">
        <v>7</v>
      </c>
      <c r="D46" s="35">
        <v>6057</v>
      </c>
      <c r="E46" s="33" t="s">
        <v>8</v>
      </c>
      <c r="F46" s="35">
        <v>1</v>
      </c>
      <c r="G46" s="33" t="s">
        <v>9</v>
      </c>
      <c r="H46" s="35">
        <v>3</v>
      </c>
      <c r="I46" s="33" t="s">
        <v>10</v>
      </c>
      <c r="J46" s="35">
        <v>28</v>
      </c>
      <c r="K46" s="33" t="s">
        <v>11</v>
      </c>
      <c r="L46" s="36" t="str">
        <f t="shared" si="0"/>
        <v>update `parenting_daily_news_first`  set `pushTitle` ="看见宝宝摸私处，你的反应对吗？制止可能更糟，这样做保护好奇心和安全感",`updateTime`  = now() WHERE `dnId` =6057and `ageYear`  =1and `ageMonth`  =3and `ageDay`  =28;</v>
      </c>
    </row>
    <row r="47" customHeight="1" spans="1:12">
      <c r="A47" s="33" t="s">
        <v>5</v>
      </c>
      <c r="B47" t="s">
        <v>246</v>
      </c>
      <c r="C47" s="33" t="s">
        <v>7</v>
      </c>
      <c r="D47" s="35">
        <v>2264</v>
      </c>
      <c r="E47" s="33" t="s">
        <v>8</v>
      </c>
      <c r="F47" s="35">
        <v>1</v>
      </c>
      <c r="G47" s="33" t="s">
        <v>9</v>
      </c>
      <c r="H47" s="35">
        <v>3</v>
      </c>
      <c r="I47" s="33" t="s">
        <v>10</v>
      </c>
      <c r="J47" s="35">
        <v>5</v>
      </c>
      <c r="K47" s="33" t="s">
        <v>11</v>
      </c>
      <c r="L47" s="36" t="str">
        <f t="shared" si="0"/>
        <v>update `parenting_daily_news_first`  set `pushTitle` ="陪娃累到崩溃？10个在家就能玩的小游戏，省力又省心，娃越玩越聪明",`updateTime`  = now() WHERE `dnId` =2264and `ageYear`  =1and `ageMonth`  =3and `ageDay`  =5;</v>
      </c>
    </row>
    <row r="48" customHeight="1" spans="1:12">
      <c r="A48" s="33" t="s">
        <v>5</v>
      </c>
      <c r="B48" t="s">
        <v>154</v>
      </c>
      <c r="C48" s="33" t="s">
        <v>7</v>
      </c>
      <c r="D48" s="35">
        <v>2422</v>
      </c>
      <c r="E48" s="33" t="s">
        <v>8</v>
      </c>
      <c r="F48" s="35">
        <v>1</v>
      </c>
      <c r="G48" s="33" t="s">
        <v>9</v>
      </c>
      <c r="H48" s="35">
        <v>4</v>
      </c>
      <c r="I48" s="33" t="s">
        <v>10</v>
      </c>
      <c r="J48" s="35">
        <v>11</v>
      </c>
      <c r="K48" s="33" t="s">
        <v>11</v>
      </c>
      <c r="L48" s="36" t="str">
        <f t="shared" si="0"/>
        <v>update `parenting_daily_news_first`  set `pushTitle` ="医生提醒：这5类感冒药，4岁以下宝宝慎用！附安全替代方案",`updateTime`  = now() WHERE `dnId` =2422and `ageYear`  =1and `ageMonth`  =4and `ageDay`  =11;</v>
      </c>
    </row>
    <row r="49" customHeight="1" spans="1:12">
      <c r="A49" s="33" t="s">
        <v>5</v>
      </c>
      <c r="B49" t="s">
        <v>247</v>
      </c>
      <c r="C49" s="33" t="s">
        <v>7</v>
      </c>
      <c r="D49" s="35">
        <v>5913</v>
      </c>
      <c r="E49" s="33" t="s">
        <v>8</v>
      </c>
      <c r="F49" s="35">
        <v>1</v>
      </c>
      <c r="G49" s="33" t="s">
        <v>9</v>
      </c>
      <c r="H49" s="35">
        <v>4</v>
      </c>
      <c r="I49" s="33" t="s">
        <v>10</v>
      </c>
      <c r="J49" s="35">
        <v>1</v>
      </c>
      <c r="K49" s="33" t="s">
        <v>11</v>
      </c>
      <c r="L49" s="36" t="str">
        <f t="shared" si="0"/>
        <v>update `parenting_daily_news_first`  set `pushTitle` ="儿童钠摄入普遍超标2倍！这些“隐形咸”食物，正在悄悄伤害健康",`updateTime`  = now() WHERE `dnId` =5913and `ageYear`  =1and `ageMonth`  =4and `ageDay`  =1;</v>
      </c>
    </row>
    <row r="50" customHeight="1" spans="1:12">
      <c r="A50" s="33" t="s">
        <v>5</v>
      </c>
      <c r="B50" t="s">
        <v>248</v>
      </c>
      <c r="C50" s="33" t="s">
        <v>7</v>
      </c>
      <c r="D50" s="35">
        <v>6303</v>
      </c>
      <c r="E50" s="33" t="s">
        <v>8</v>
      </c>
      <c r="F50" s="35">
        <v>1</v>
      </c>
      <c r="G50" s="33" t="s">
        <v>9</v>
      </c>
      <c r="H50" s="35">
        <v>4</v>
      </c>
      <c r="I50" s="33" t="s">
        <v>10</v>
      </c>
      <c r="J50" s="35">
        <v>20</v>
      </c>
      <c r="K50" s="33" t="s">
        <v>11</v>
      </c>
      <c r="L50" s="36" t="str">
        <f t="shared" si="0"/>
        <v>update `parenting_daily_news_first`  set `pushTitle` ="妈妈别自责！宝宝在你面前更“作”是有原因的，3个真相，第2个看完心都软了",`updateTime`  = now() WHERE `dnId` =6303and `ageYear`  =1and `ageMonth`  =4and `ageDay`  =20;</v>
      </c>
    </row>
    <row r="51" customHeight="1" spans="1:12">
      <c r="A51" s="33" t="s">
        <v>5</v>
      </c>
      <c r="B51" t="s">
        <v>249</v>
      </c>
      <c r="C51" s="33" t="s">
        <v>7</v>
      </c>
      <c r="D51" s="35">
        <v>236</v>
      </c>
      <c r="E51" s="33" t="s">
        <v>8</v>
      </c>
      <c r="F51" s="35">
        <v>1</v>
      </c>
      <c r="G51" s="33" t="s">
        <v>9</v>
      </c>
      <c r="H51" s="35">
        <v>4</v>
      </c>
      <c r="I51" s="33" t="s">
        <v>10</v>
      </c>
      <c r="J51" s="35">
        <v>4</v>
      </c>
      <c r="K51" s="33" t="s">
        <v>11</v>
      </c>
      <c r="L51" s="36" t="str">
        <f t="shared" si="0"/>
        <v>update `parenting_daily_news_first`  set `pushTitle` ="二胎隔1年、3年、5年差别有多大？一篇讲透利弊，这个黄金间隔对妈妈和娃都好",`updateTime`  = now() WHERE `dnId` =236and `ageYear`  =1and `ageMonth`  =4and `ageDay`  =4;</v>
      </c>
    </row>
    <row r="52" customHeight="1" spans="1:12">
      <c r="A52" s="33" t="s">
        <v>5</v>
      </c>
      <c r="B52" t="s">
        <v>250</v>
      </c>
      <c r="C52" s="33" t="s">
        <v>7</v>
      </c>
      <c r="D52" s="35">
        <v>298</v>
      </c>
      <c r="E52" s="33" t="s">
        <v>8</v>
      </c>
      <c r="F52" s="35">
        <v>1</v>
      </c>
      <c r="G52" s="33" t="s">
        <v>9</v>
      </c>
      <c r="H52" s="35">
        <v>5</v>
      </c>
      <c r="I52" s="33" t="s">
        <v>10</v>
      </c>
      <c r="J52" s="35">
        <v>12</v>
      </c>
      <c r="K52" s="33" t="s">
        <v>11</v>
      </c>
      <c r="L52" s="36" t="str">
        <f t="shared" si="0"/>
        <v>update `parenting_daily_news_first`  set `pushTitle` ="宝宝见啥啃啥，别只会抢！这是他变聪明的信号，用好2招轻松过渡",`updateTime`  = now() WHERE `dnId` =298and `ageYear`  =1and `ageMonth`  =5and `ageDay`  =12;</v>
      </c>
    </row>
    <row r="53" customHeight="1" spans="1:12">
      <c r="A53" s="33" t="s">
        <v>5</v>
      </c>
      <c r="B53" t="s">
        <v>251</v>
      </c>
      <c r="C53" s="33" t="s">
        <v>7</v>
      </c>
      <c r="D53" s="35">
        <v>5947</v>
      </c>
      <c r="E53" s="33" t="s">
        <v>8</v>
      </c>
      <c r="F53" s="35">
        <v>1</v>
      </c>
      <c r="G53" s="33" t="s">
        <v>9</v>
      </c>
      <c r="H53" s="35">
        <v>5</v>
      </c>
      <c r="I53" s="33" t="s">
        <v>10</v>
      </c>
      <c r="J53" s="35">
        <v>17</v>
      </c>
      <c r="K53" s="33" t="s">
        <v>11</v>
      </c>
      <c r="L53" s="36" t="str">
        <f t="shared" si="0"/>
        <v>update `parenting_daily_news_first`  set `pushTitle` ="给#baby#选牛奶🥛，别只看品牌！一张图看懂好奶标准，避开2种“假牛奶”",`updateTime`  = now() WHERE `dnId` =5947and `ageYear`  =1and `ageMonth`  =5and `ageDay`  =17;</v>
      </c>
    </row>
    <row r="54" customHeight="1" spans="1:12">
      <c r="A54" s="33" t="s">
        <v>5</v>
      </c>
      <c r="B54" t="s">
        <v>252</v>
      </c>
      <c r="C54" s="33" t="s">
        <v>7</v>
      </c>
      <c r="D54" s="35">
        <v>6320</v>
      </c>
      <c r="E54" s="33" t="s">
        <v>8</v>
      </c>
      <c r="F54" s="35">
        <v>1</v>
      </c>
      <c r="G54" s="33" t="s">
        <v>9</v>
      </c>
      <c r="H54" s="35">
        <v>5</v>
      </c>
      <c r="I54" s="33" t="s">
        <v>10</v>
      </c>
      <c r="J54" s="35">
        <v>23</v>
      </c>
      <c r="K54" s="33" t="s">
        <v>11</v>
      </c>
      <c r="L54" s="36" t="str">
        <f t="shared" si="0"/>
        <v>update `parenting_daily_news_first`  set `pushTitle` ="天天夸“你真棒”，孩子反而没动力？打开2个思路，夸出#baby#的自信和内驱力",`updateTime`  = now() WHERE `dnId` =6320and `ageYear`  =1and `ageMonth`  =5and `ageDay`  =23;</v>
      </c>
    </row>
    <row r="55" customHeight="1" spans="1:12">
      <c r="A55" s="33" t="s">
        <v>5</v>
      </c>
      <c r="B55" t="s">
        <v>253</v>
      </c>
      <c r="C55" s="33" t="s">
        <v>7</v>
      </c>
      <c r="D55" s="35">
        <v>6164</v>
      </c>
      <c r="E55" s="33" t="s">
        <v>8</v>
      </c>
      <c r="F55" s="35">
        <v>1</v>
      </c>
      <c r="G55" s="33" t="s">
        <v>9</v>
      </c>
      <c r="H55" s="35">
        <v>5</v>
      </c>
      <c r="I55" s="33" t="s">
        <v>10</v>
      </c>
      <c r="J55" s="35">
        <v>27</v>
      </c>
      <c r="K55" s="33" t="s">
        <v>11</v>
      </c>
      <c r="L55" s="36" t="str">
        <f t="shared" si="0"/>
        <v>update `parenting_daily_news_first`  set `pushTitle` ="宝宝1岁后饮食安排有哪些变化？做好这3个升级，娃吃得好、长得壮",`updateTime`  = now() WHERE `dnId` =6164and `ageYear`  =1and `ageMonth`  =5and `ageDay`  =27;</v>
      </c>
    </row>
    <row r="56" customHeight="1" spans="1:12">
      <c r="A56" s="33" t="s">
        <v>5</v>
      </c>
      <c r="B56" t="s">
        <v>155</v>
      </c>
      <c r="C56" s="33" t="s">
        <v>7</v>
      </c>
      <c r="D56" s="35">
        <v>5954</v>
      </c>
      <c r="E56" s="33" t="s">
        <v>8</v>
      </c>
      <c r="F56" s="35">
        <v>1</v>
      </c>
      <c r="G56" s="33" t="s">
        <v>9</v>
      </c>
      <c r="H56" s="35">
        <v>6</v>
      </c>
      <c r="I56" s="33" t="s">
        <v>10</v>
      </c>
      <c r="J56" s="35">
        <v>12</v>
      </c>
      <c r="K56" s="33" t="s">
        <v>11</v>
      </c>
      <c r="L56" s="36" t="str">
        <f t="shared" si="0"/>
        <v>update `parenting_daily_news_first`  set `pushTitle` ="宝宝长期口呼吸，会变丑还影响智力！3步在家自测，早发现早干预",`updateTime`  = now() WHERE `dnId` =5954and `ageYear`  =1and `ageMonth`  =6and `ageDay`  =12;</v>
      </c>
    </row>
    <row r="57" customHeight="1" spans="1:12">
      <c r="A57" s="33" t="s">
        <v>5</v>
      </c>
      <c r="B57" t="s">
        <v>254</v>
      </c>
      <c r="C57" s="33" t="s">
        <v>7</v>
      </c>
      <c r="D57" s="35">
        <v>5957</v>
      </c>
      <c r="E57" s="33" t="s">
        <v>8</v>
      </c>
      <c r="F57" s="35">
        <v>1</v>
      </c>
      <c r="G57" s="33" t="s">
        <v>9</v>
      </c>
      <c r="H57" s="35">
        <v>6</v>
      </c>
      <c r="I57" s="33" t="s">
        <v>10</v>
      </c>
      <c r="J57" s="35">
        <v>15</v>
      </c>
      <c r="K57" s="33" t="s">
        <v>11</v>
      </c>
      <c r="L57" s="36" t="str">
        <f t="shared" si="0"/>
        <v>update `parenting_daily_news_first`  set `pushTitle` ="3岁前vs3岁后，刷牙姿势大不同！抓住3个关键，宝宝牙齿干净不蛀牙",`updateTime`  = now() WHERE `dnId` =5957and `ageYear`  =1and `ageMonth`  =6and `ageDay`  =15;</v>
      </c>
    </row>
    <row r="58" customHeight="1" spans="1:12">
      <c r="A58" s="33" t="s">
        <v>5</v>
      </c>
      <c r="B58" t="s">
        <v>255</v>
      </c>
      <c r="C58" s="33" t="s">
        <v>7</v>
      </c>
      <c r="D58" s="35">
        <v>5964</v>
      </c>
      <c r="E58" s="33" t="s">
        <v>8</v>
      </c>
      <c r="F58" s="35">
        <v>1</v>
      </c>
      <c r="G58" s="33" t="s">
        <v>9</v>
      </c>
      <c r="H58" s="35">
        <v>6</v>
      </c>
      <c r="I58" s="33" t="s">
        <v>10</v>
      </c>
      <c r="J58" s="35">
        <v>1</v>
      </c>
      <c r="K58" s="33" t="s">
        <v>11</v>
      </c>
      <c r="L58" s="36" t="str">
        <f t="shared" si="0"/>
        <v>update `parenting_daily_news_first`  set `pushTitle` ="5岁儿童超70%有蛀牙！0～6岁防蛀，做好这5件事是关键，守住娃的小白牙🦷",`updateTime`  = now() WHERE `dnId` =5964and `ageYear`  =1and `ageMonth`  =6and `ageDay`  =1;</v>
      </c>
    </row>
    <row r="59" customHeight="1" spans="1:12">
      <c r="A59" s="33" t="s">
        <v>5</v>
      </c>
      <c r="B59" t="s">
        <v>256</v>
      </c>
      <c r="C59" s="33" t="s">
        <v>7</v>
      </c>
      <c r="D59" s="35">
        <v>5942</v>
      </c>
      <c r="E59" s="33" t="s">
        <v>8</v>
      </c>
      <c r="F59" s="35">
        <v>1</v>
      </c>
      <c r="G59" s="33" t="s">
        <v>9</v>
      </c>
      <c r="H59" s="35">
        <v>6</v>
      </c>
      <c r="I59" s="33" t="s">
        <v>10</v>
      </c>
      <c r="J59" s="35">
        <v>3</v>
      </c>
      <c r="K59" s="33" t="s">
        <v>11</v>
      </c>
      <c r="L59" s="36" t="str">
        <f t="shared" si="0"/>
        <v>update `parenting_daily_news_first`  set `pushTitle` ="别和1～3岁娃硬杠！做好这4件事，让“秩序期”变“早教黄金期”",`updateTime`  = now() WHERE `dnId` =5942and `ageYear`  =1and `ageMonth`  =6and `ageDay`  =3;</v>
      </c>
    </row>
    <row r="60" customHeight="1" spans="1:12">
      <c r="A60" s="33" t="s">
        <v>5</v>
      </c>
      <c r="B60" t="s">
        <v>257</v>
      </c>
      <c r="C60" s="33" t="s">
        <v>7</v>
      </c>
      <c r="D60" s="35">
        <v>4261</v>
      </c>
      <c r="E60" s="33" t="s">
        <v>8</v>
      </c>
      <c r="F60" s="35">
        <v>1</v>
      </c>
      <c r="G60" s="33" t="s">
        <v>9</v>
      </c>
      <c r="H60" s="35">
        <v>6</v>
      </c>
      <c r="I60" s="33" t="s">
        <v>10</v>
      </c>
      <c r="J60" s="35">
        <v>7</v>
      </c>
      <c r="K60" s="33" t="s">
        <v>11</v>
      </c>
      <c r="L60" s="36" t="str">
        <f t="shared" si="0"/>
        <v>update `parenting_daily_news_first`  set `pushTitle` ="出现这3个信号，该给宝宝穿内裤了！尺寸、材质、款式怎么挑，一篇讲清",`updateTime`  = now() WHERE `dnId` =4261and `ageYear`  =1and `ageMonth`  =6and `ageDay`  =7;</v>
      </c>
    </row>
    <row r="61" customHeight="1" spans="1:12">
      <c r="A61" s="33" t="s">
        <v>5</v>
      </c>
      <c r="B61" t="s">
        <v>258</v>
      </c>
      <c r="C61" s="33" t="s">
        <v>7</v>
      </c>
      <c r="D61" s="35">
        <v>5960</v>
      </c>
      <c r="E61" s="33" t="s">
        <v>8</v>
      </c>
      <c r="F61" s="35">
        <v>1</v>
      </c>
      <c r="G61" s="33" t="s">
        <v>9</v>
      </c>
      <c r="H61" s="35">
        <v>6</v>
      </c>
      <c r="I61" s="33" t="s">
        <v>10</v>
      </c>
      <c r="J61" s="35">
        <v>8</v>
      </c>
      <c r="K61" s="33" t="s">
        <v>11</v>
      </c>
      <c r="L61" s="36" t="str">
        <f t="shared" si="0"/>
        <v>update `parenting_daily_news_first`  set `pushTitle` ="宝宝内向≠自闭症！医生：真正的征兆是这2种“能力缺失”，附自检表",`updateTime`  = now() WHERE `dnId` =5960and `ageYear`  =1and `ageMonth`  =6and `ageDay`  =8;</v>
      </c>
    </row>
    <row r="62" customHeight="1" spans="1:12">
      <c r="A62" s="33" t="s">
        <v>5</v>
      </c>
      <c r="B62" t="s">
        <v>259</v>
      </c>
      <c r="C62" s="33" t="s">
        <v>7</v>
      </c>
      <c r="D62" s="35">
        <v>2143</v>
      </c>
      <c r="E62" s="33" t="s">
        <v>8</v>
      </c>
      <c r="F62" s="35">
        <v>1</v>
      </c>
      <c r="G62" s="33" t="s">
        <v>9</v>
      </c>
      <c r="H62" s="35">
        <v>7</v>
      </c>
      <c r="I62" s="33" t="s">
        <v>10</v>
      </c>
      <c r="J62" s="35">
        <v>11</v>
      </c>
      <c r="K62" s="33" t="s">
        <v>11</v>
      </c>
      <c r="L62" s="36" t="str">
        <f t="shared" si="0"/>
        <v>update `parenting_daily_news_first`  set `pushTitle` ="1～2岁娃“人小脾气大”！用对4个方法，规矩立得住，还不伤感情",`updateTime`  = now() WHERE `dnId` =2143and `ageYear`  =1and `ageMonth`  =7and `ageDay`  =11;</v>
      </c>
    </row>
    <row r="63" customHeight="1" spans="1:12">
      <c r="A63" s="33" t="s">
        <v>5</v>
      </c>
      <c r="B63" t="s">
        <v>260</v>
      </c>
      <c r="C63" s="33" t="s">
        <v>7</v>
      </c>
      <c r="D63" s="35">
        <v>2081</v>
      </c>
      <c r="E63" s="33" t="s">
        <v>8</v>
      </c>
      <c r="F63" s="35">
        <v>1</v>
      </c>
      <c r="G63" s="33" t="s">
        <v>9</v>
      </c>
      <c r="H63" s="35">
        <v>7</v>
      </c>
      <c r="I63" s="33" t="s">
        <v>10</v>
      </c>
      <c r="J63" s="35">
        <v>14</v>
      </c>
      <c r="K63" s="33" t="s">
        <v>11</v>
      </c>
      <c r="L63" s="36" t="str">
        <f t="shared" si="0"/>
        <v>update `parenting_daily_news_first`  set `pushTitle` ="娃抢玩具、护东西，说“是我的！”恭喜你，#ta#的物权意识萌芽了！3步正确引导",`updateTime`  = now() WHERE `dnId` =2081and `ageYear`  =1and `ageMonth`  =7and `ageDay`  =14;</v>
      </c>
    </row>
    <row r="64" customHeight="1" spans="1:12">
      <c r="A64" s="33" t="s">
        <v>5</v>
      </c>
      <c r="B64" t="s">
        <v>261</v>
      </c>
      <c r="C64" s="33" t="s">
        <v>7</v>
      </c>
      <c r="D64" s="35">
        <v>5912</v>
      </c>
      <c r="E64" s="33" t="s">
        <v>8</v>
      </c>
      <c r="F64" s="35">
        <v>1</v>
      </c>
      <c r="G64" s="33" t="s">
        <v>9</v>
      </c>
      <c r="H64" s="35">
        <v>7</v>
      </c>
      <c r="I64" s="33" t="s">
        <v>10</v>
      </c>
      <c r="J64" s="35">
        <v>14</v>
      </c>
      <c r="K64" s="33" t="s">
        <v>11</v>
      </c>
      <c r="L64" s="36" t="str">
        <f t="shared" si="0"/>
        <v>update `parenting_daily_news_first`  set `pushTitle` ="世卫组织禁令：3岁内禁止吃这类“糖”！娃吃的这些“健康零食”，含糖量可能吓你一跳",`updateTime`  = now() WHERE `dnId` =5912and `ageYear`  =1and `ageMonth`  =7and `ageDay`  =14;</v>
      </c>
    </row>
    <row r="65" customHeight="1" spans="1:12">
      <c r="A65" s="33" t="s">
        <v>5</v>
      </c>
      <c r="B65" t="s">
        <v>262</v>
      </c>
      <c r="C65" s="33" t="s">
        <v>7</v>
      </c>
      <c r="D65" s="35">
        <v>6010</v>
      </c>
      <c r="E65" s="33" t="s">
        <v>8</v>
      </c>
      <c r="F65" s="35">
        <v>1</v>
      </c>
      <c r="G65" s="33" t="s">
        <v>9</v>
      </c>
      <c r="H65" s="35">
        <v>7</v>
      </c>
      <c r="I65" s="33" t="s">
        <v>10</v>
      </c>
      <c r="J65" s="35">
        <v>16</v>
      </c>
      <c r="K65" s="33" t="s">
        <v>11</v>
      </c>
      <c r="L65" s="36" t="str">
        <f t="shared" si="0"/>
        <v>update `parenting_daily_news_first`  set `pushTitle` ="晚睡影响长高？别焦虑！研究证实：关键不是几点睡，而是……",`updateTime`  = now() WHERE `dnId` =6010and `ageYear`  =1and `ageMonth`  =7and `ageDay`  =16;</v>
      </c>
    </row>
    <row r="66" customHeight="1" spans="1:12">
      <c r="A66" s="33" t="s">
        <v>5</v>
      </c>
      <c r="B66" t="s">
        <v>263</v>
      </c>
      <c r="C66" s="33" t="s">
        <v>7</v>
      </c>
      <c r="D66" s="35">
        <v>177</v>
      </c>
      <c r="E66" s="33" t="s">
        <v>8</v>
      </c>
      <c r="F66" s="35">
        <v>1</v>
      </c>
      <c r="G66" s="33" t="s">
        <v>9</v>
      </c>
      <c r="H66" s="35">
        <v>7</v>
      </c>
      <c r="I66" s="33" t="s">
        <v>10</v>
      </c>
      <c r="J66" s="35">
        <v>19</v>
      </c>
      <c r="K66" s="33" t="s">
        <v>11</v>
      </c>
      <c r="L66" s="36" t="str">
        <f t="shared" ref="L66:L80" si="1">A66&amp;B66&amp;C66&amp;D66&amp;E66&amp;F66&amp;G66&amp;H66&amp;I66&amp;J66&amp;K66</f>
        <v>update `parenting_daily_news_first`  set `pushTitle` ="别花冤枉钱上早教了！一张纸在家就能玩，开发6大能力，附分龄玩法",`updateTime`  = now() WHERE `dnId` =177and `ageYear`  =1and `ageMonth`  =7and `ageDay`  =19;</v>
      </c>
    </row>
    <row r="67" customHeight="1" spans="1:12">
      <c r="A67" s="33" t="s">
        <v>5</v>
      </c>
      <c r="B67" t="s">
        <v>264</v>
      </c>
      <c r="C67" s="33" t="s">
        <v>7</v>
      </c>
      <c r="D67" s="35">
        <v>5938</v>
      </c>
      <c r="E67" s="33" t="s">
        <v>8</v>
      </c>
      <c r="F67" s="35">
        <v>1</v>
      </c>
      <c r="G67" s="33" t="s">
        <v>9</v>
      </c>
      <c r="H67" s="35">
        <v>7</v>
      </c>
      <c r="I67" s="33" t="s">
        <v>10</v>
      </c>
      <c r="J67" s="35">
        <v>2</v>
      </c>
      <c r="K67" s="33" t="s">
        <v>11</v>
      </c>
      <c r="L67" s="36" t="str">
        <f t="shared" si="1"/>
        <v>update `parenting_daily_news_first`  set `pushTitle` ="0～6岁注意力标准表📊，娃能专注几分钟？对照一下就知道是否达标✅",`updateTime`  = now() WHERE `dnId` =5938and `ageYear`  =1and `ageMonth`  =7and `ageDay`  =2;</v>
      </c>
    </row>
    <row r="68" customHeight="1" spans="1:12">
      <c r="A68" s="33" t="s">
        <v>5</v>
      </c>
      <c r="B68" t="s">
        <v>265</v>
      </c>
      <c r="C68" s="33" t="s">
        <v>7</v>
      </c>
      <c r="D68" s="35">
        <v>6168</v>
      </c>
      <c r="E68" s="33" t="s">
        <v>8</v>
      </c>
      <c r="F68" s="35">
        <v>1</v>
      </c>
      <c r="G68" s="33" t="s">
        <v>9</v>
      </c>
      <c r="H68" s="35">
        <v>7</v>
      </c>
      <c r="I68" s="33" t="s">
        <v>10</v>
      </c>
      <c r="J68" s="35">
        <v>5</v>
      </c>
      <c r="K68" s="33" t="s">
        <v>11</v>
      </c>
      <c r="L68" s="36" t="str">
        <f t="shared" si="1"/>
        <v>update `parenting_daily_news_first`  set `pushTitle` ="🕒娃的“睡前大戏”：喝水/尿尿/讲故事…读懂娃的4个小心思，轻松哄睡不生气",`updateTime`  = now() WHERE `dnId` =6168and `ageYear`  =1and `ageMonth`  =7and `ageDay`  =5;</v>
      </c>
    </row>
    <row r="69" customHeight="1" spans="1:12">
      <c r="A69" s="33" t="s">
        <v>5</v>
      </c>
      <c r="B69" t="s">
        <v>266</v>
      </c>
      <c r="C69" s="33" t="s">
        <v>7</v>
      </c>
      <c r="D69" s="35">
        <v>4215</v>
      </c>
      <c r="E69" s="33" t="s">
        <v>8</v>
      </c>
      <c r="F69" s="35">
        <v>1</v>
      </c>
      <c r="G69" s="33" t="s">
        <v>9</v>
      </c>
      <c r="H69" s="35">
        <v>8</v>
      </c>
      <c r="I69" s="33" t="s">
        <v>10</v>
      </c>
      <c r="J69" s="35">
        <v>0</v>
      </c>
      <c r="K69" s="33" t="s">
        <v>11</v>
      </c>
      <c r="L69" s="36" t="str">
        <f t="shared" si="1"/>
        <v>update `parenting_daily_news_first`  set `pushTitle` ="迎接宝宝的“贴心期”！#baby#1岁8个月啦，语言爆发、会关心人！这个阶段发育重点，家长别错过",`updateTime`  = now() WHERE `dnId` =4215and `ageYear`  =1and `ageMonth`  =8and `ageDay`  =0;</v>
      </c>
    </row>
    <row r="70" customHeight="1" spans="1:12">
      <c r="A70" s="33" t="s">
        <v>5</v>
      </c>
      <c r="B70" t="s">
        <v>122</v>
      </c>
      <c r="C70" s="33" t="s">
        <v>7</v>
      </c>
      <c r="D70" s="35">
        <v>5962</v>
      </c>
      <c r="E70" s="33" t="s">
        <v>8</v>
      </c>
      <c r="F70" s="35">
        <v>1</v>
      </c>
      <c r="G70" s="33" t="s">
        <v>9</v>
      </c>
      <c r="H70" s="35">
        <v>8</v>
      </c>
      <c r="I70" s="33" t="s">
        <v>10</v>
      </c>
      <c r="J70" s="35">
        <v>12</v>
      </c>
      <c r="K70" s="33" t="s">
        <v>11</v>
      </c>
      <c r="L70" s="36" t="str">
        <f t="shared" si="1"/>
        <v>update `parenting_daily_news_first`  set `pushTitle` ="#baby#长牙🦷后，一件小事能避免大问题，你做了吗？",`updateTime`  = now() WHERE `dnId` =5962and `ageYear`  =1and `ageMonth`  =8and `ageDay`  =12;</v>
      </c>
    </row>
    <row r="71" customHeight="1" spans="1:12">
      <c r="A71" s="33" t="s">
        <v>5</v>
      </c>
      <c r="B71" t="s">
        <v>242</v>
      </c>
      <c r="C71" s="33" t="s">
        <v>7</v>
      </c>
      <c r="D71" s="35">
        <v>2168</v>
      </c>
      <c r="E71" s="33" t="s">
        <v>8</v>
      </c>
      <c r="F71" s="35">
        <v>1</v>
      </c>
      <c r="G71" s="33" t="s">
        <v>9</v>
      </c>
      <c r="H71" s="35">
        <v>8</v>
      </c>
      <c r="I71" s="33" t="s">
        <v>10</v>
      </c>
      <c r="J71" s="35">
        <v>17</v>
      </c>
      <c r="K71" s="33" t="s">
        <v>11</v>
      </c>
      <c r="L71" s="36" t="str">
        <f t="shared" si="1"/>
        <v>update `parenting_daily_news_first`  set `pushTitle` ="1～2岁宝宝必玩！这7个益智游戏清单，玩出专注力+逻辑思维",`updateTime`  = now() WHERE `dnId` =2168and `ageYear`  =1and `ageMonth`  =8and `ageDay`  =17;</v>
      </c>
    </row>
    <row r="72" customHeight="1" spans="1:12">
      <c r="A72" s="33" t="s">
        <v>5</v>
      </c>
      <c r="B72" t="s">
        <v>267</v>
      </c>
      <c r="C72" s="33" t="s">
        <v>7</v>
      </c>
      <c r="D72" s="35">
        <v>6016</v>
      </c>
      <c r="E72" s="33" t="s">
        <v>8</v>
      </c>
      <c r="F72" s="35">
        <v>1</v>
      </c>
      <c r="G72" s="33" t="s">
        <v>9</v>
      </c>
      <c r="H72" s="35">
        <v>8</v>
      </c>
      <c r="I72" s="33" t="s">
        <v>10</v>
      </c>
      <c r="J72" s="35">
        <v>23</v>
      </c>
      <c r="K72" s="33" t="s">
        <v>11</v>
      </c>
      <c r="L72" s="36" t="str">
        <f t="shared" si="1"/>
        <v>update `parenting_daily_news_first`  set `pushTitle` ="宝宝喜欢脱袜子🧦别强行穿！光脚好处太多，这样判断#ta#冷不冷",`updateTime`  = now() WHERE `dnId` =6016and `ageYear`  =1and `ageMonth`  =8and `ageDay`  =23;</v>
      </c>
    </row>
    <row r="73" customHeight="1" spans="1:12">
      <c r="A73" s="33" t="s">
        <v>5</v>
      </c>
      <c r="B73" t="s">
        <v>137</v>
      </c>
      <c r="C73" s="33" t="s">
        <v>7</v>
      </c>
      <c r="D73" s="35">
        <v>4051</v>
      </c>
      <c r="E73" s="33" t="s">
        <v>8</v>
      </c>
      <c r="F73" s="35">
        <v>1</v>
      </c>
      <c r="G73" s="33" t="s">
        <v>9</v>
      </c>
      <c r="H73" s="35">
        <v>8</v>
      </c>
      <c r="I73" s="33" t="s">
        <v>10</v>
      </c>
      <c r="J73" s="35">
        <v>28</v>
      </c>
      <c r="K73" s="33" t="s">
        <v>11</v>
      </c>
      <c r="L73" s="36" t="str">
        <f t="shared" si="1"/>
        <v>update `parenting_daily_news_first`  set `pushTitle` ="6类抗生素孩子慎用！副作用明显可致耳聋，这份黑名单快收藏好",`updateTime`  = now() WHERE `dnId` =4051and `ageYear`  =1and `ageMonth`  =8and `ageDay`  =28;</v>
      </c>
    </row>
    <row r="74" customHeight="1" spans="1:12">
      <c r="A74" s="33" t="s">
        <v>5</v>
      </c>
      <c r="B74" t="s">
        <v>268</v>
      </c>
      <c r="C74" s="33" t="s">
        <v>7</v>
      </c>
      <c r="D74" s="35">
        <v>4049</v>
      </c>
      <c r="E74" s="33" t="s">
        <v>8</v>
      </c>
      <c r="F74" s="35">
        <v>1</v>
      </c>
      <c r="G74" s="33" t="s">
        <v>9</v>
      </c>
      <c r="H74" s="35">
        <v>8</v>
      </c>
      <c r="I74" s="33" t="s">
        <v>10</v>
      </c>
      <c r="J74" s="35">
        <v>3</v>
      </c>
      <c r="K74" s="33" t="s">
        <v>11</v>
      </c>
      <c r="L74" s="36" t="str">
        <f t="shared" si="1"/>
        <v>update `parenting_daily_news_first`  set `pushTitle` ="身高不全靠遗传📈抓住2个冲刺期，4招帮娃轻松长更高",`updateTime`  = now() WHERE `dnId` =4049and `ageYear`  =1and `ageMonth`  =8and `ageDay`  =3;</v>
      </c>
    </row>
    <row r="75" customHeight="1" spans="1:12">
      <c r="A75" s="33" t="s">
        <v>5</v>
      </c>
      <c r="B75" t="s">
        <v>243</v>
      </c>
      <c r="C75" s="33" t="s">
        <v>7</v>
      </c>
      <c r="D75" s="35">
        <v>5945</v>
      </c>
      <c r="E75" s="33" t="s">
        <v>8</v>
      </c>
      <c r="F75" s="35">
        <v>1</v>
      </c>
      <c r="G75" s="33" t="s">
        <v>9</v>
      </c>
      <c r="H75" s="35">
        <v>8</v>
      </c>
      <c r="I75" s="33" t="s">
        <v>10</v>
      </c>
      <c r="J75" s="35">
        <v>5</v>
      </c>
      <c r="K75" s="33" t="s">
        <v>11</v>
      </c>
      <c r="L75" s="36" t="str">
        <f t="shared" si="1"/>
        <v>update `parenting_daily_news_first`  set `pushTitle` ="牙医提醒：儿童牙膏别瞎买！尤其含这3种成分的，伤牙还刺激，附安全对照表",`updateTime`  = now() WHERE `dnId` =5945and `ageYear`  =1and `ageMonth`  =8and `ageDay`  =5;</v>
      </c>
    </row>
    <row r="76" customHeight="1" spans="1:12">
      <c r="A76" s="33" t="s">
        <v>5</v>
      </c>
      <c r="B76" t="s">
        <v>269</v>
      </c>
      <c r="C76" s="33" t="s">
        <v>7</v>
      </c>
      <c r="D76" s="35">
        <v>4216</v>
      </c>
      <c r="E76" s="33" t="s">
        <v>8</v>
      </c>
      <c r="F76" s="35">
        <v>1</v>
      </c>
      <c r="G76" s="33" t="s">
        <v>9</v>
      </c>
      <c r="H76" s="35">
        <v>9</v>
      </c>
      <c r="I76" s="33" t="s">
        <v>10</v>
      </c>
      <c r="J76" s="35">
        <v>0</v>
      </c>
      <c r="K76" s="33" t="s">
        <v>11</v>
      </c>
      <c r="L76" s="36" t="str">
        <f t="shared" si="1"/>
        <v>update `parenting_daily_news_first`  set `pushTitle` ="#baby#1岁9个月啦✨进入“空间探索+物权敏感”期！4大养育重点别错过",`updateTime`  = now() WHERE `dnId` =4216and `ageYear`  =1and `ageMonth`  =9and `ageDay`  =0;</v>
      </c>
    </row>
    <row r="77" customHeight="1" spans="1:12">
      <c r="A77" s="33" t="s">
        <v>5</v>
      </c>
      <c r="B77" t="s">
        <v>270</v>
      </c>
      <c r="C77" s="33" t="s">
        <v>7</v>
      </c>
      <c r="D77" s="35">
        <v>5400</v>
      </c>
      <c r="E77" s="33" t="s">
        <v>8</v>
      </c>
      <c r="F77" s="35">
        <v>1</v>
      </c>
      <c r="G77" s="33" t="s">
        <v>9</v>
      </c>
      <c r="H77" s="35">
        <v>9</v>
      </c>
      <c r="I77" s="33" t="s">
        <v>10</v>
      </c>
      <c r="J77" s="35">
        <v>12</v>
      </c>
      <c r="K77" s="33" t="s">
        <v>11</v>
      </c>
      <c r="L77" s="36" t="str">
        <f t="shared" si="1"/>
        <v>update `parenting_daily_news_first`  set `pushTitle` ="娃为啥总看同一集动画、玩同个游戏？不是无聊，3个“聪明密码”告诉你答案",`updateTime`  = now() WHERE `dnId` =5400and `ageYear`  =1and `ageMonth`  =9and `ageDay`  =12;</v>
      </c>
    </row>
    <row r="78" customHeight="1" spans="1:12">
      <c r="A78" s="33" t="s">
        <v>5</v>
      </c>
      <c r="B78" t="s">
        <v>271</v>
      </c>
      <c r="C78" s="33" t="s">
        <v>7</v>
      </c>
      <c r="D78" s="35">
        <v>5940</v>
      </c>
      <c r="E78" s="33" t="s">
        <v>8</v>
      </c>
      <c r="F78" s="35">
        <v>1</v>
      </c>
      <c r="G78" s="33" t="s">
        <v>9</v>
      </c>
      <c r="H78" s="35">
        <v>9</v>
      </c>
      <c r="I78" s="33" t="s">
        <v>10</v>
      </c>
      <c r="J78" s="35">
        <v>14</v>
      </c>
      <c r="K78" s="33" t="s">
        <v>11</v>
      </c>
      <c r="L78" s="36" t="str">
        <f t="shared" si="1"/>
        <v>update `parenting_daily_news_first`  set `pushTitle` ="🦷90%家长忽略的蛀牙信号！孩子乳牙上这种情况别忽视，做好3件事还能救",`updateTime`  = now() WHERE `dnId` =5940and `ageYear`  =1and `ageMonth`  =9and `ageDay`  =14;</v>
      </c>
    </row>
    <row r="79" customHeight="1" spans="1:12">
      <c r="A79" s="33" t="s">
        <v>5</v>
      </c>
      <c r="B79" t="s">
        <v>145</v>
      </c>
      <c r="C79" s="33" t="s">
        <v>7</v>
      </c>
      <c r="D79" s="35">
        <v>238</v>
      </c>
      <c r="E79" s="33" t="s">
        <v>8</v>
      </c>
      <c r="F79" s="35">
        <v>1</v>
      </c>
      <c r="G79" s="33" t="s">
        <v>9</v>
      </c>
      <c r="H79" s="35">
        <v>9</v>
      </c>
      <c r="I79" s="33" t="s">
        <v>10</v>
      </c>
      <c r="J79" s="35">
        <v>21</v>
      </c>
      <c r="K79" s="33" t="s">
        <v>11</v>
      </c>
      <c r="L79" s="36" t="str">
        <f t="shared" si="1"/>
        <v>update `parenting_daily_news_first`  set `pushTitle` ="医生提醒：宝宝咳嗽别急着吃药！5个靠谱护理法，好得快少遭罪",`updateTime`  = now() WHERE `dnId` =238and `ageYear`  =1and `ageMonth`  =9and `ageDay`  =21;</v>
      </c>
    </row>
    <row r="80" customHeight="1" spans="1:12">
      <c r="A80" s="33" t="s">
        <v>5</v>
      </c>
      <c r="B80" t="s">
        <v>272</v>
      </c>
      <c r="C80" s="33" t="s">
        <v>7</v>
      </c>
      <c r="D80" s="35">
        <v>4090</v>
      </c>
      <c r="E80" s="33" t="s">
        <v>8</v>
      </c>
      <c r="F80" s="35">
        <v>1</v>
      </c>
      <c r="G80" s="33" t="s">
        <v>9</v>
      </c>
      <c r="H80" s="35">
        <v>9</v>
      </c>
      <c r="I80" s="33" t="s">
        <v>10</v>
      </c>
      <c r="J80" s="35">
        <v>24</v>
      </c>
      <c r="K80" s="33" t="s">
        <v>11</v>
      </c>
      <c r="L80" s="36" t="str">
        <f t="shared" si="1"/>
        <v>update `parenting_daily_news_first`  set `pushTitle` ="🔍自查：娃的“生长曲线”是哪种类型？这种“平缓型”可能暗示营养没吃对",`updateTime`  = now() WHERE `dnId` =4090and `ageYear`  =1and `ageMonth`  =9and `ageDay`  =24;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86"/>
  <sheetViews>
    <sheetView tabSelected="1" workbookViewId="0">
      <pane ySplit="2" topLeftCell="A113" activePane="bottomLeft" state="frozen"/>
      <selection/>
      <selection pane="bottomLeft" activeCell="L115" sqref="L115"/>
    </sheetView>
  </sheetViews>
  <sheetFormatPr defaultColWidth="10" defaultRowHeight="16.5" customHeight="1"/>
  <cols>
    <col min="1" max="1" width="13.125" style="3" customWidth="1"/>
    <col min="2" max="2" width="21.5" style="4" customWidth="1"/>
    <col min="3" max="5" width="11.5" style="3" customWidth="1"/>
    <col min="6" max="6" width="11.75" style="5" customWidth="1"/>
    <col min="7" max="7" width="20.375" style="6" customWidth="1"/>
    <col min="8" max="9" width="10" style="5"/>
    <col min="10" max="10" width="10" style="7"/>
    <col min="11" max="12" width="12.5" style="2" customWidth="1"/>
  </cols>
  <sheetData>
    <row r="1" s="2" customFormat="1" ht="27.75" customHeight="1" spans="1:12">
      <c r="A1" s="8" t="s">
        <v>273</v>
      </c>
      <c r="B1"/>
      <c r="C1"/>
      <c r="D1"/>
      <c r="E1"/>
      <c r="F1" s="9" t="s">
        <v>274</v>
      </c>
      <c r="G1"/>
      <c r="H1"/>
      <c r="I1"/>
      <c r="J1"/>
      <c r="K1" s="10" t="s">
        <v>275</v>
      </c>
      <c r="L1" s="10" t="s">
        <v>276</v>
      </c>
    </row>
    <row r="2" s="2" customFormat="1" ht="27.75" customHeight="1" spans="1:12">
      <c r="A2" s="8" t="s">
        <v>277</v>
      </c>
      <c r="B2" s="11" t="s">
        <v>278</v>
      </c>
      <c r="C2" s="8" t="s">
        <v>279</v>
      </c>
      <c r="D2" s="8" t="s">
        <v>280</v>
      </c>
      <c r="E2" s="8" t="s">
        <v>281</v>
      </c>
      <c r="F2" s="9" t="s">
        <v>277</v>
      </c>
      <c r="G2" s="9" t="s">
        <v>278</v>
      </c>
      <c r="H2" s="9" t="s">
        <v>279</v>
      </c>
      <c r="I2" s="9" t="s">
        <v>280</v>
      </c>
      <c r="J2" s="12" t="s">
        <v>281</v>
      </c>
      <c r="K2" s="13"/>
      <c r="L2" s="10"/>
    </row>
    <row r="3" ht="54.75" customHeight="1" spans="1:12">
      <c r="A3" s="14" t="s">
        <v>282</v>
      </c>
      <c r="B3" s="15" t="s">
        <v>283</v>
      </c>
      <c r="C3" s="14">
        <v>676</v>
      </c>
      <c r="D3" s="14">
        <v>21</v>
      </c>
      <c r="E3" s="16">
        <v>0.031</v>
      </c>
      <c r="F3" s="17" t="s">
        <v>282</v>
      </c>
      <c r="G3" s="18" t="s">
        <v>283</v>
      </c>
      <c r="H3" s="17">
        <v>711</v>
      </c>
      <c r="I3" s="17">
        <v>22</v>
      </c>
      <c r="J3" s="19">
        <v>0.030923695</v>
      </c>
      <c r="K3" s="20">
        <f t="shared" ref="K3:K23" si="0">J3-E3</f>
        <v>-7.63049999999987e-5</v>
      </c>
      <c r="L3" s="20"/>
    </row>
    <row r="4" ht="41.25" customHeight="1" spans="1:12">
      <c r="A4" s="14" t="s">
        <v>284</v>
      </c>
      <c r="B4" s="15" t="s">
        <v>285</v>
      </c>
      <c r="C4" s="14">
        <v>879</v>
      </c>
      <c r="D4" s="14">
        <v>7</v>
      </c>
      <c r="E4" s="16">
        <v>0.0083</v>
      </c>
      <c r="F4" s="17" t="s">
        <v>284</v>
      </c>
      <c r="G4" s="21" t="s">
        <v>18</v>
      </c>
      <c r="H4" s="17">
        <v>877</v>
      </c>
      <c r="I4" s="17">
        <v>14</v>
      </c>
      <c r="J4" s="19">
        <v>0.016452191</v>
      </c>
      <c r="K4" s="20">
        <f t="shared" si="0"/>
        <v>0.008152191</v>
      </c>
      <c r="L4" s="20"/>
    </row>
    <row r="5" ht="41.25" customHeight="1" spans="1:12">
      <c r="A5" s="14" t="s">
        <v>286</v>
      </c>
      <c r="B5" s="15" t="s">
        <v>287</v>
      </c>
      <c r="C5" s="14">
        <v>492</v>
      </c>
      <c r="D5" s="14">
        <v>8</v>
      </c>
      <c r="E5" s="16">
        <v>0.0168</v>
      </c>
      <c r="F5" s="17" t="s">
        <v>286</v>
      </c>
      <c r="G5" s="21" t="s">
        <v>19</v>
      </c>
      <c r="H5" s="17">
        <v>470</v>
      </c>
      <c r="I5" s="17">
        <v>6</v>
      </c>
      <c r="J5" s="19">
        <v>0.013677812</v>
      </c>
      <c r="K5" s="20">
        <f t="shared" si="0"/>
        <v>-0.003122188</v>
      </c>
      <c r="L5" s="20"/>
    </row>
    <row r="6" ht="68.25" customHeight="1" spans="1:12">
      <c r="A6" s="14" t="s">
        <v>288</v>
      </c>
      <c r="B6" s="15" t="s">
        <v>289</v>
      </c>
      <c r="C6" s="14">
        <v>1144</v>
      </c>
      <c r="D6" s="14">
        <v>26</v>
      </c>
      <c r="E6" s="16">
        <v>0.0227</v>
      </c>
      <c r="F6" s="17" t="s">
        <v>288</v>
      </c>
      <c r="G6" s="18" t="s">
        <v>289</v>
      </c>
      <c r="H6" s="17">
        <v>1172</v>
      </c>
      <c r="I6" s="17">
        <v>25</v>
      </c>
      <c r="J6" s="19">
        <v>0.02205972</v>
      </c>
      <c r="K6" s="20">
        <f t="shared" si="0"/>
        <v>-0.00064028</v>
      </c>
      <c r="L6" s="20"/>
    </row>
    <row r="7" ht="41.25" customHeight="1" spans="1:12">
      <c r="A7" s="14" t="s">
        <v>290</v>
      </c>
      <c r="B7" s="15" t="s">
        <v>291</v>
      </c>
      <c r="C7" s="14">
        <v>531</v>
      </c>
      <c r="D7" s="14">
        <v>9</v>
      </c>
      <c r="E7" s="16">
        <v>0.0183</v>
      </c>
      <c r="F7" s="17" t="s">
        <v>290</v>
      </c>
      <c r="G7" s="18" t="s">
        <v>291</v>
      </c>
      <c r="H7" s="17">
        <v>566</v>
      </c>
      <c r="I7" s="17">
        <v>9</v>
      </c>
      <c r="J7" s="19">
        <v>0.016889337</v>
      </c>
      <c r="K7" s="20">
        <f t="shared" si="0"/>
        <v>-0.001410663</v>
      </c>
      <c r="L7" s="20"/>
    </row>
    <row r="8" ht="41.25" customHeight="1" spans="1:12">
      <c r="A8" s="14" t="s">
        <v>292</v>
      </c>
      <c r="B8" s="15" t="s">
        <v>293</v>
      </c>
      <c r="C8" s="14">
        <v>444</v>
      </c>
      <c r="D8" s="14">
        <v>20</v>
      </c>
      <c r="E8" s="16">
        <v>0.0463</v>
      </c>
      <c r="F8" s="17" t="s">
        <v>292</v>
      </c>
      <c r="G8" s="18" t="s">
        <v>293</v>
      </c>
      <c r="H8" s="17">
        <v>520</v>
      </c>
      <c r="I8" s="17">
        <v>22</v>
      </c>
      <c r="J8" s="19">
        <v>0.043883708</v>
      </c>
      <c r="K8" s="20">
        <f t="shared" si="0"/>
        <v>-0.002416292</v>
      </c>
      <c r="L8" s="20"/>
    </row>
    <row r="9" ht="41.25" customHeight="1" spans="1:12">
      <c r="A9" s="14" t="s">
        <v>294</v>
      </c>
      <c r="B9" s="15" t="s">
        <v>295</v>
      </c>
      <c r="C9" s="14">
        <v>667</v>
      </c>
      <c r="D9" s="14">
        <v>16</v>
      </c>
      <c r="E9" s="16">
        <v>0.0242</v>
      </c>
      <c r="F9" s="17" t="s">
        <v>294</v>
      </c>
      <c r="G9" s="18" t="s">
        <v>295</v>
      </c>
      <c r="H9" s="17">
        <v>1005</v>
      </c>
      <c r="I9" s="17">
        <v>22</v>
      </c>
      <c r="J9" s="19">
        <v>0.022307474</v>
      </c>
      <c r="K9" s="20">
        <f t="shared" si="0"/>
        <v>-0.001892526</v>
      </c>
      <c r="L9" s="20"/>
    </row>
    <row r="10" ht="54.75" customHeight="1" spans="1:12">
      <c r="A10" s="14" t="s">
        <v>296</v>
      </c>
      <c r="B10" s="15" t="s">
        <v>297</v>
      </c>
      <c r="C10" s="14">
        <v>1275</v>
      </c>
      <c r="D10" s="14">
        <v>50</v>
      </c>
      <c r="E10" s="16">
        <v>0.0397</v>
      </c>
      <c r="F10" s="17" t="s">
        <v>296</v>
      </c>
      <c r="G10" s="18" t="s">
        <v>297</v>
      </c>
      <c r="H10" s="17">
        <v>1488</v>
      </c>
      <c r="I10" s="17">
        <v>54</v>
      </c>
      <c r="J10" s="19">
        <v>0.036379343</v>
      </c>
      <c r="K10" s="20">
        <f t="shared" si="0"/>
        <v>-0.003320657</v>
      </c>
      <c r="L10" s="20"/>
    </row>
    <row r="11" ht="54.75" customHeight="1" spans="1:12">
      <c r="A11" s="14" t="s">
        <v>298</v>
      </c>
      <c r="B11" s="15" t="s">
        <v>299</v>
      </c>
      <c r="C11" s="14">
        <v>2</v>
      </c>
      <c r="D11" s="14">
        <v>0</v>
      </c>
      <c r="E11" s="16">
        <v>0.0625</v>
      </c>
      <c r="F11" s="17" t="s">
        <v>298</v>
      </c>
      <c r="G11" s="21" t="s">
        <v>6</v>
      </c>
      <c r="H11" s="22">
        <v>2</v>
      </c>
      <c r="I11" s="22">
        <v>0</v>
      </c>
      <c r="J11" s="19">
        <v>0</v>
      </c>
      <c r="K11" s="23">
        <f t="shared" si="0"/>
        <v>-0.0625</v>
      </c>
      <c r="L11" s="24"/>
    </row>
    <row r="12" ht="54.75" customHeight="1" spans="1:12">
      <c r="A12" s="14" t="s">
        <v>300</v>
      </c>
      <c r="B12" s="15" t="s">
        <v>301</v>
      </c>
      <c r="C12" s="14">
        <v>1132</v>
      </c>
      <c r="D12" s="14">
        <v>38</v>
      </c>
      <c r="E12" s="16">
        <v>0.0338</v>
      </c>
      <c r="F12" s="17" t="s">
        <v>300</v>
      </c>
      <c r="G12" s="18" t="s">
        <v>301</v>
      </c>
      <c r="H12" s="17">
        <v>945</v>
      </c>
      <c r="I12" s="17">
        <v>26</v>
      </c>
      <c r="J12" s="19">
        <v>0.028105168</v>
      </c>
      <c r="K12" s="25">
        <f t="shared" si="0"/>
        <v>-0.005694832</v>
      </c>
      <c r="L12" s="24"/>
    </row>
    <row r="13" ht="54.75" customHeight="1" spans="1:12">
      <c r="A13" s="14" t="s">
        <v>302</v>
      </c>
      <c r="B13" s="15" t="s">
        <v>303</v>
      </c>
      <c r="C13" s="14">
        <v>620</v>
      </c>
      <c r="D13" s="14">
        <v>9</v>
      </c>
      <c r="E13" s="16">
        <v>0.0147</v>
      </c>
      <c r="F13" s="17" t="s">
        <v>302</v>
      </c>
      <c r="G13" s="21" t="s">
        <v>12</v>
      </c>
      <c r="H13" s="17">
        <v>623</v>
      </c>
      <c r="I13" s="17">
        <v>8</v>
      </c>
      <c r="J13" s="19">
        <v>0.012838148</v>
      </c>
      <c r="K13" s="20">
        <f t="shared" si="0"/>
        <v>-0.001861852</v>
      </c>
      <c r="L13" s="20"/>
    </row>
    <row r="14" ht="54.75" customHeight="1" spans="1:12">
      <c r="A14" s="14" t="s">
        <v>304</v>
      </c>
      <c r="B14" s="15" t="s">
        <v>305</v>
      </c>
      <c r="C14" s="14">
        <v>281</v>
      </c>
      <c r="D14" s="14">
        <v>11</v>
      </c>
      <c r="E14" s="16">
        <v>0.0406</v>
      </c>
      <c r="F14" s="17" t="s">
        <v>304</v>
      </c>
      <c r="G14" s="18" t="s">
        <v>305</v>
      </c>
      <c r="H14" s="17">
        <v>201</v>
      </c>
      <c r="I14" s="17">
        <v>7</v>
      </c>
      <c r="J14" s="19">
        <v>0.036879433</v>
      </c>
      <c r="K14" s="20">
        <f t="shared" si="0"/>
        <v>-0.00372056699999999</v>
      </c>
      <c r="L14" s="20"/>
    </row>
    <row r="15" ht="27.75" customHeight="1" spans="1:12">
      <c r="A15" s="14" t="s">
        <v>306</v>
      </c>
      <c r="B15" s="15" t="s">
        <v>307</v>
      </c>
      <c r="C15" s="14">
        <v>376</v>
      </c>
      <c r="D15" s="14">
        <v>9</v>
      </c>
      <c r="E15" s="16">
        <v>0.0254</v>
      </c>
      <c r="F15" s="17" t="s">
        <v>306</v>
      </c>
      <c r="G15" s="18" t="s">
        <v>307</v>
      </c>
      <c r="H15" s="17">
        <v>275</v>
      </c>
      <c r="I15" s="17">
        <v>7</v>
      </c>
      <c r="J15" s="19">
        <v>0.02596054</v>
      </c>
      <c r="K15" s="20">
        <f t="shared" si="0"/>
        <v>0.000560540000000002</v>
      </c>
      <c r="L15" s="20"/>
    </row>
    <row r="16" ht="41.25" customHeight="1" spans="1:12">
      <c r="A16" s="14" t="s">
        <v>308</v>
      </c>
      <c r="B16" s="15" t="s">
        <v>309</v>
      </c>
      <c r="C16" s="14">
        <v>1497</v>
      </c>
      <c r="D16" s="14">
        <v>30</v>
      </c>
      <c r="E16" s="16">
        <v>0.0206</v>
      </c>
      <c r="F16" s="17" t="s">
        <v>308</v>
      </c>
      <c r="G16" s="18" t="s">
        <v>309</v>
      </c>
      <c r="H16" s="17">
        <v>1413</v>
      </c>
      <c r="I16" s="17">
        <v>31</v>
      </c>
      <c r="J16" s="19">
        <v>0.022026877</v>
      </c>
      <c r="K16" s="20">
        <f t="shared" si="0"/>
        <v>0.001426877</v>
      </c>
      <c r="L16" s="20"/>
    </row>
    <row r="17" ht="41.25" customHeight="1" spans="1:12">
      <c r="A17" s="14" t="s">
        <v>310</v>
      </c>
      <c r="B17" s="15" t="s">
        <v>311</v>
      </c>
      <c r="C17" s="14">
        <v>1520</v>
      </c>
      <c r="D17" s="14">
        <v>40</v>
      </c>
      <c r="E17" s="16">
        <v>0.0267</v>
      </c>
      <c r="F17" s="17" t="s">
        <v>310</v>
      </c>
      <c r="G17" s="18" t="s">
        <v>311</v>
      </c>
      <c r="H17" s="17">
        <v>1399</v>
      </c>
      <c r="I17" s="17">
        <v>32</v>
      </c>
      <c r="J17" s="19">
        <v>0.022873481</v>
      </c>
      <c r="K17" s="20">
        <f t="shared" si="0"/>
        <v>-0.003826519</v>
      </c>
      <c r="L17" s="20"/>
    </row>
    <row r="18" ht="68.25" customHeight="1" spans="1:12">
      <c r="A18" s="14" t="s">
        <v>312</v>
      </c>
      <c r="B18" s="15" t="s">
        <v>313</v>
      </c>
      <c r="C18" s="14">
        <v>1387</v>
      </c>
      <c r="D18" s="14">
        <v>17</v>
      </c>
      <c r="E18" s="16">
        <v>0.0128</v>
      </c>
      <c r="F18" s="17" t="s">
        <v>312</v>
      </c>
      <c r="G18" s="21" t="s">
        <v>13</v>
      </c>
      <c r="H18" s="17">
        <v>1103</v>
      </c>
      <c r="I18" s="17">
        <v>10</v>
      </c>
      <c r="J18" s="26">
        <v>0.00984201</v>
      </c>
      <c r="K18" s="20">
        <f t="shared" si="0"/>
        <v>-0.00295799</v>
      </c>
      <c r="L18" s="20" t="s">
        <v>314</v>
      </c>
    </row>
    <row r="19" ht="54.75" customHeight="1" spans="1:12">
      <c r="A19" s="14" t="s">
        <v>315</v>
      </c>
      <c r="B19" s="15" t="s">
        <v>316</v>
      </c>
      <c r="C19" s="14">
        <v>558</v>
      </c>
      <c r="D19" s="14">
        <v>3</v>
      </c>
      <c r="E19" s="16">
        <v>0.0069</v>
      </c>
      <c r="F19" s="17" t="s">
        <v>315</v>
      </c>
      <c r="G19" s="21" t="s">
        <v>14</v>
      </c>
      <c r="H19" s="17">
        <v>701</v>
      </c>
      <c r="I19" s="17">
        <v>12</v>
      </c>
      <c r="J19" s="19">
        <v>0.017301038</v>
      </c>
      <c r="K19" s="20">
        <f t="shared" si="0"/>
        <v>0.010401038</v>
      </c>
      <c r="L19" s="20"/>
    </row>
    <row r="20" ht="54.75" customHeight="1" spans="1:12">
      <c r="A20" s="14" t="s">
        <v>317</v>
      </c>
      <c r="B20" s="15" t="s">
        <v>318</v>
      </c>
      <c r="C20" s="14">
        <v>1296</v>
      </c>
      <c r="D20" s="14">
        <v>16</v>
      </c>
      <c r="E20" s="16">
        <v>0.0123</v>
      </c>
      <c r="F20" s="17" t="s">
        <v>317</v>
      </c>
      <c r="G20" s="21" t="s">
        <v>15</v>
      </c>
      <c r="H20" s="17">
        <v>1354</v>
      </c>
      <c r="I20" s="17">
        <v>16</v>
      </c>
      <c r="J20" s="19">
        <v>0.011815592</v>
      </c>
      <c r="K20" s="20">
        <f t="shared" si="0"/>
        <v>-0.000484408</v>
      </c>
      <c r="L20" s="20"/>
    </row>
    <row r="21" ht="41.25" customHeight="1" spans="1:12">
      <c r="A21" s="14" t="s">
        <v>319</v>
      </c>
      <c r="B21" s="15" t="s">
        <v>320</v>
      </c>
      <c r="C21" s="14">
        <v>1440</v>
      </c>
      <c r="D21" s="14">
        <v>26</v>
      </c>
      <c r="E21" s="16">
        <v>0.0182</v>
      </c>
      <c r="F21" s="17" t="s">
        <v>319</v>
      </c>
      <c r="G21" s="18" t="s">
        <v>320</v>
      </c>
      <c r="H21" s="17">
        <v>1533</v>
      </c>
      <c r="I21" s="17">
        <v>30</v>
      </c>
      <c r="J21" s="19">
        <v>0.019558536</v>
      </c>
      <c r="K21" s="20">
        <f t="shared" si="0"/>
        <v>0.001358536</v>
      </c>
      <c r="L21" s="20"/>
    </row>
    <row r="22" ht="27.75" customHeight="1" spans="1:12">
      <c r="A22" s="14" t="s">
        <v>321</v>
      </c>
      <c r="B22" s="15" t="s">
        <v>322</v>
      </c>
      <c r="C22" s="14">
        <v>1471</v>
      </c>
      <c r="D22" s="14">
        <v>26</v>
      </c>
      <c r="E22" s="16">
        <v>0.018</v>
      </c>
      <c r="F22" s="17" t="s">
        <v>321</v>
      </c>
      <c r="G22" s="18" t="s">
        <v>322</v>
      </c>
      <c r="H22" s="17">
        <v>1623</v>
      </c>
      <c r="I22" s="17">
        <v>31</v>
      </c>
      <c r="J22" s="19">
        <v>0.019450801</v>
      </c>
      <c r="K22" s="20">
        <f t="shared" si="0"/>
        <v>0.001450801</v>
      </c>
      <c r="L22" s="20"/>
    </row>
    <row r="23" ht="41.25" customHeight="1" spans="1:12">
      <c r="A23" s="14" t="s">
        <v>323</v>
      </c>
      <c r="B23" s="15" t="s">
        <v>324</v>
      </c>
      <c r="C23" s="14">
        <v>979</v>
      </c>
      <c r="D23" s="14">
        <v>14</v>
      </c>
      <c r="E23" s="16">
        <v>0.0143</v>
      </c>
      <c r="F23" s="17" t="s">
        <v>323</v>
      </c>
      <c r="G23" s="21" t="s">
        <v>16</v>
      </c>
      <c r="H23" s="17">
        <v>911</v>
      </c>
      <c r="I23" s="17">
        <v>9</v>
      </c>
      <c r="J23" s="19">
        <v>0.010501567</v>
      </c>
      <c r="K23" s="20">
        <f t="shared" si="0"/>
        <v>-0.003798433</v>
      </c>
      <c r="L23" s="20"/>
    </row>
    <row r="24" ht="27.75" customHeight="1" spans="1:12">
      <c r="A24" s="14" t="s">
        <v>325</v>
      </c>
      <c r="B24" s="15" t="s">
        <v>326</v>
      </c>
      <c r="C24" s="14">
        <v>576</v>
      </c>
      <c r="D24" s="14">
        <v>13</v>
      </c>
      <c r="E24" s="16">
        <v>0.0228</v>
      </c>
      <c r="F24" s="17" t="s">
        <v>325</v>
      </c>
      <c r="G24" s="18" t="s">
        <v>326</v>
      </c>
      <c r="H24" s="17"/>
      <c r="I24" s="17"/>
      <c r="J24" s="19"/>
      <c r="K24" s="20"/>
      <c r="L24" s="20"/>
    </row>
    <row r="25" ht="41.25" customHeight="1" spans="1:12">
      <c r="A25" s="14" t="s">
        <v>327</v>
      </c>
      <c r="B25" s="15" t="s">
        <v>328</v>
      </c>
      <c r="C25" s="14">
        <v>544</v>
      </c>
      <c r="D25" s="14">
        <v>5</v>
      </c>
      <c r="E25" s="16">
        <v>0.0092</v>
      </c>
      <c r="F25" s="17" t="s">
        <v>327</v>
      </c>
      <c r="G25" s="21" t="s">
        <v>17</v>
      </c>
      <c r="H25" s="17"/>
      <c r="I25" s="17"/>
      <c r="J25" s="19"/>
      <c r="K25" s="20"/>
      <c r="L25" s="20"/>
    </row>
    <row r="26" ht="54.75" customHeight="1" spans="1:12">
      <c r="A26" s="14" t="s">
        <v>329</v>
      </c>
      <c r="B26" s="15" t="s">
        <v>330</v>
      </c>
      <c r="C26" s="14">
        <v>1559</v>
      </c>
      <c r="D26" s="14">
        <v>36</v>
      </c>
      <c r="E26" s="16">
        <v>0.0231</v>
      </c>
      <c r="F26" s="17" t="s">
        <v>329</v>
      </c>
      <c r="G26" s="18" t="s">
        <v>330</v>
      </c>
      <c r="H26" s="17">
        <v>1695</v>
      </c>
      <c r="I26" s="17">
        <v>38</v>
      </c>
      <c r="J26" s="19">
        <v>0.022920704</v>
      </c>
      <c r="K26" s="20">
        <f t="shared" ref="K26:K52" si="1">J26-E26</f>
        <v>-0.000179295999999999</v>
      </c>
      <c r="L26" s="20"/>
    </row>
    <row r="27" ht="68.25" customHeight="1" spans="1:12">
      <c r="A27" s="14" t="s">
        <v>331</v>
      </c>
      <c r="B27" s="15" t="s">
        <v>332</v>
      </c>
      <c r="C27" s="14">
        <v>758</v>
      </c>
      <c r="D27" s="14">
        <v>15</v>
      </c>
      <c r="E27" s="16">
        <v>0.02</v>
      </c>
      <c r="F27" s="17" t="s">
        <v>331</v>
      </c>
      <c r="G27" s="21" t="s">
        <v>45</v>
      </c>
      <c r="H27" s="17">
        <v>1029</v>
      </c>
      <c r="I27" s="17">
        <v>11</v>
      </c>
      <c r="J27" s="19">
        <v>0.011382565</v>
      </c>
      <c r="K27" s="27">
        <f t="shared" si="1"/>
        <v>-0.008617435</v>
      </c>
      <c r="L27" s="24" t="s">
        <v>333</v>
      </c>
    </row>
    <row r="28" ht="41.25" customHeight="1" spans="1:12">
      <c r="A28" s="14" t="s">
        <v>334</v>
      </c>
      <c r="B28" s="15" t="s">
        <v>335</v>
      </c>
      <c r="C28" s="14">
        <v>962</v>
      </c>
      <c r="D28" s="14">
        <v>11</v>
      </c>
      <c r="E28" s="16">
        <v>0.0123</v>
      </c>
      <c r="F28" s="17" t="s">
        <v>334</v>
      </c>
      <c r="G28" s="21" t="s">
        <v>51</v>
      </c>
      <c r="H28" s="17">
        <v>1533</v>
      </c>
      <c r="I28" s="17">
        <v>17</v>
      </c>
      <c r="J28" s="19">
        <v>0.011553154</v>
      </c>
      <c r="K28" s="20">
        <f t="shared" si="1"/>
        <v>-0.000746846000000001</v>
      </c>
      <c r="L28" s="20"/>
    </row>
    <row r="29" ht="41.25" customHeight="1" spans="1:12">
      <c r="A29" s="14" t="s">
        <v>336</v>
      </c>
      <c r="B29" s="15" t="s">
        <v>337</v>
      </c>
      <c r="C29" s="14">
        <v>112</v>
      </c>
      <c r="D29" s="14">
        <v>1</v>
      </c>
      <c r="E29" s="16">
        <v>0.0152</v>
      </c>
      <c r="F29" s="17" t="s">
        <v>336</v>
      </c>
      <c r="G29" s="18" t="s">
        <v>337</v>
      </c>
      <c r="H29" s="17">
        <v>421</v>
      </c>
      <c r="I29" s="17">
        <v>10</v>
      </c>
      <c r="J29" s="19">
        <v>0.02440678</v>
      </c>
      <c r="K29" s="20">
        <f t="shared" si="1"/>
        <v>0.00920678</v>
      </c>
      <c r="L29" s="20"/>
    </row>
    <row r="30" ht="41.25" customHeight="1" spans="1:12">
      <c r="A30" s="14" t="s">
        <v>338</v>
      </c>
      <c r="B30" s="15" t="s">
        <v>339</v>
      </c>
      <c r="C30" s="14">
        <v>1520</v>
      </c>
      <c r="D30" s="14">
        <v>20</v>
      </c>
      <c r="E30" s="16">
        <v>0.0135</v>
      </c>
      <c r="F30" s="17" t="s">
        <v>338</v>
      </c>
      <c r="G30" s="21" t="s">
        <v>52</v>
      </c>
      <c r="H30" s="17">
        <v>2498</v>
      </c>
      <c r="I30" s="17">
        <v>29</v>
      </c>
      <c r="J30" s="19">
        <v>0.011721654</v>
      </c>
      <c r="K30" s="20">
        <f t="shared" si="1"/>
        <v>-0.001778346</v>
      </c>
      <c r="L30" s="20"/>
    </row>
    <row r="31" ht="27.75" customHeight="1" spans="1:12">
      <c r="A31" s="14" t="s">
        <v>340</v>
      </c>
      <c r="B31" s="15" t="s">
        <v>341</v>
      </c>
      <c r="C31" s="14">
        <v>216</v>
      </c>
      <c r="D31" s="14">
        <v>5</v>
      </c>
      <c r="E31" s="16">
        <v>0.0251</v>
      </c>
      <c r="F31" s="17" t="s">
        <v>340</v>
      </c>
      <c r="G31" s="18" t="s">
        <v>341</v>
      </c>
      <c r="H31" s="17">
        <v>402</v>
      </c>
      <c r="I31" s="17">
        <v>10</v>
      </c>
      <c r="J31" s="19">
        <v>0.025895708</v>
      </c>
      <c r="K31" s="20">
        <f t="shared" si="1"/>
        <v>0.000795707999999999</v>
      </c>
      <c r="L31" s="20"/>
    </row>
    <row r="32" ht="54.75" customHeight="1" spans="1:12">
      <c r="A32" s="14" t="s">
        <v>342</v>
      </c>
      <c r="B32" s="15" t="s">
        <v>343</v>
      </c>
      <c r="C32" s="14">
        <v>1618</v>
      </c>
      <c r="D32" s="14">
        <v>36</v>
      </c>
      <c r="E32" s="16">
        <v>0.0226</v>
      </c>
      <c r="F32" s="17" t="s">
        <v>342</v>
      </c>
      <c r="G32" s="18" t="s">
        <v>343</v>
      </c>
      <c r="H32" s="17">
        <v>2499</v>
      </c>
      <c r="I32" s="17">
        <v>56</v>
      </c>
      <c r="J32" s="19">
        <v>0.022633745</v>
      </c>
      <c r="K32" s="20">
        <f t="shared" si="1"/>
        <v>3.37450000000017e-5</v>
      </c>
      <c r="L32" s="20"/>
    </row>
    <row r="33" ht="41.25" customHeight="1" spans="1:12">
      <c r="A33" s="14" t="s">
        <v>344</v>
      </c>
      <c r="B33" s="15" t="s">
        <v>345</v>
      </c>
      <c r="C33" s="14">
        <v>213</v>
      </c>
      <c r="D33" s="14">
        <v>4</v>
      </c>
      <c r="E33" s="16">
        <v>0.0208</v>
      </c>
      <c r="F33" s="17" t="s">
        <v>344</v>
      </c>
      <c r="G33" s="18" t="s">
        <v>345</v>
      </c>
      <c r="H33" s="17">
        <v>729</v>
      </c>
      <c r="I33" s="17">
        <v>11</v>
      </c>
      <c r="J33" s="19">
        <v>0.016059538</v>
      </c>
      <c r="K33" s="20">
        <f t="shared" si="1"/>
        <v>-0.004740462</v>
      </c>
      <c r="L33" s="20"/>
    </row>
    <row r="34" ht="27.75" customHeight="1" spans="1:12">
      <c r="A34" s="14" t="s">
        <v>346</v>
      </c>
      <c r="B34" s="15" t="s">
        <v>347</v>
      </c>
      <c r="C34" s="14">
        <v>214</v>
      </c>
      <c r="D34" s="14">
        <v>2</v>
      </c>
      <c r="E34" s="16">
        <v>0.0107</v>
      </c>
      <c r="F34" s="17" t="s">
        <v>346</v>
      </c>
      <c r="G34" s="18" t="s">
        <v>347</v>
      </c>
      <c r="H34" s="17">
        <v>720</v>
      </c>
      <c r="I34" s="17">
        <v>8</v>
      </c>
      <c r="J34" s="19">
        <v>0.011305038</v>
      </c>
      <c r="K34" s="20">
        <f t="shared" si="1"/>
        <v>0.000605038</v>
      </c>
      <c r="L34" s="20"/>
    </row>
    <row r="35" ht="27.75" customHeight="1" spans="1:12">
      <c r="A35" s="14" t="s">
        <v>348</v>
      </c>
      <c r="B35" s="15" t="s">
        <v>349</v>
      </c>
      <c r="C35" s="14">
        <v>330</v>
      </c>
      <c r="D35" s="14">
        <v>5</v>
      </c>
      <c r="E35" s="16">
        <v>0.016</v>
      </c>
      <c r="F35" s="17" t="s">
        <v>348</v>
      </c>
      <c r="G35" s="18" t="s">
        <v>349</v>
      </c>
      <c r="H35" s="17">
        <v>1470</v>
      </c>
      <c r="I35" s="17">
        <v>16</v>
      </c>
      <c r="J35" s="19">
        <v>0.011363636</v>
      </c>
      <c r="K35" s="20">
        <f t="shared" si="1"/>
        <v>-0.004636364</v>
      </c>
      <c r="L35" s="20"/>
    </row>
    <row r="36" ht="68.25" customHeight="1" spans="1:12">
      <c r="A36" s="14" t="s">
        <v>350</v>
      </c>
      <c r="B36" s="15" t="s">
        <v>351</v>
      </c>
      <c r="C36" s="14">
        <v>1501</v>
      </c>
      <c r="D36" s="14">
        <v>16</v>
      </c>
      <c r="E36" s="16">
        <v>0.0109</v>
      </c>
      <c r="F36" s="17" t="s">
        <v>350</v>
      </c>
      <c r="G36" s="21" t="s">
        <v>41</v>
      </c>
      <c r="H36" s="17">
        <v>2432</v>
      </c>
      <c r="I36" s="17">
        <v>19</v>
      </c>
      <c r="J36" s="26">
        <v>0.008045572</v>
      </c>
      <c r="K36" s="20">
        <f t="shared" si="1"/>
        <v>-0.002854428</v>
      </c>
      <c r="L36" s="20" t="s">
        <v>314</v>
      </c>
    </row>
    <row r="37" ht="41.25" customHeight="1" spans="1:12">
      <c r="A37" s="14" t="s">
        <v>352</v>
      </c>
      <c r="B37" s="15" t="s">
        <v>353</v>
      </c>
      <c r="C37" s="14">
        <v>1625</v>
      </c>
      <c r="D37" s="14">
        <v>25</v>
      </c>
      <c r="E37" s="16">
        <v>0.0156</v>
      </c>
      <c r="F37" s="17" t="s">
        <v>352</v>
      </c>
      <c r="G37" s="18" t="s">
        <v>353</v>
      </c>
      <c r="H37" s="17">
        <v>1732</v>
      </c>
      <c r="I37" s="17">
        <v>27</v>
      </c>
      <c r="J37" s="19">
        <v>0.01607717</v>
      </c>
      <c r="K37" s="20">
        <f t="shared" si="1"/>
        <v>0.000477169999999999</v>
      </c>
      <c r="L37" s="20"/>
    </row>
    <row r="38" ht="41.25" customHeight="1" spans="1:12">
      <c r="A38" s="14" t="s">
        <v>354</v>
      </c>
      <c r="B38" s="15" t="s">
        <v>355</v>
      </c>
      <c r="C38" s="14">
        <v>1524</v>
      </c>
      <c r="D38" s="14">
        <v>20</v>
      </c>
      <c r="E38" s="16">
        <v>0.0131</v>
      </c>
      <c r="F38" s="17" t="s">
        <v>354</v>
      </c>
      <c r="G38" s="18" t="s">
        <v>355</v>
      </c>
      <c r="H38" s="17">
        <v>738</v>
      </c>
      <c r="I38" s="17">
        <v>13</v>
      </c>
      <c r="J38" s="19">
        <v>0.018561485</v>
      </c>
      <c r="K38" s="20">
        <f t="shared" si="1"/>
        <v>0.005461485</v>
      </c>
      <c r="L38" s="20"/>
    </row>
    <row r="39" ht="54.75" customHeight="1" spans="1:12">
      <c r="A39" s="14" t="s">
        <v>356</v>
      </c>
      <c r="B39" s="15" t="s">
        <v>357</v>
      </c>
      <c r="C39" s="14">
        <v>44</v>
      </c>
      <c r="D39" s="14">
        <v>1</v>
      </c>
      <c r="E39" s="16">
        <v>0.0227</v>
      </c>
      <c r="F39" s="17" t="s">
        <v>356</v>
      </c>
      <c r="G39" s="18" t="s">
        <v>357</v>
      </c>
      <c r="H39" s="17">
        <v>44</v>
      </c>
      <c r="I39" s="17">
        <v>1</v>
      </c>
      <c r="J39" s="19">
        <v>0.022580645</v>
      </c>
      <c r="K39" s="20">
        <f t="shared" si="1"/>
        <v>-0.000119355000000002</v>
      </c>
      <c r="L39" s="20"/>
    </row>
    <row r="40" ht="41.25" customHeight="1" spans="1:12">
      <c r="A40" s="14" t="s">
        <v>358</v>
      </c>
      <c r="B40" s="15" t="s">
        <v>359</v>
      </c>
      <c r="C40" s="14">
        <v>1346</v>
      </c>
      <c r="D40" s="14">
        <v>14</v>
      </c>
      <c r="E40" s="16">
        <v>0.0109</v>
      </c>
      <c r="F40" s="17" t="s">
        <v>358</v>
      </c>
      <c r="G40" s="21" t="s">
        <v>42</v>
      </c>
      <c r="H40" s="17">
        <v>704</v>
      </c>
      <c r="I40" s="17">
        <v>14</v>
      </c>
      <c r="J40" s="19">
        <v>0.020892495</v>
      </c>
      <c r="K40" s="20">
        <f t="shared" si="1"/>
        <v>0.009992495</v>
      </c>
      <c r="L40" s="20"/>
    </row>
    <row r="41" ht="68.25" customHeight="1" spans="1:12">
      <c r="A41" s="14" t="s">
        <v>360</v>
      </c>
      <c r="B41" s="15" t="s">
        <v>361</v>
      </c>
      <c r="C41" s="14">
        <v>1489</v>
      </c>
      <c r="D41" s="14">
        <v>23</v>
      </c>
      <c r="E41" s="16">
        <v>0.0154</v>
      </c>
      <c r="F41" s="17" t="s">
        <v>360</v>
      </c>
      <c r="G41" s="21" t="s">
        <v>43</v>
      </c>
      <c r="H41" s="17">
        <v>1620</v>
      </c>
      <c r="I41" s="17">
        <v>14</v>
      </c>
      <c r="J41" s="26">
        <v>0.008641975</v>
      </c>
      <c r="K41" s="27">
        <f t="shared" si="1"/>
        <v>-0.006758025</v>
      </c>
      <c r="L41" s="24" t="s">
        <v>333</v>
      </c>
    </row>
    <row r="42" ht="27.75" customHeight="1" spans="1:12">
      <c r="A42" s="14" t="s">
        <v>362</v>
      </c>
      <c r="B42" s="15" t="s">
        <v>363</v>
      </c>
      <c r="C42" s="14">
        <v>786</v>
      </c>
      <c r="D42" s="14">
        <v>8</v>
      </c>
      <c r="E42" s="16">
        <v>0.0104</v>
      </c>
      <c r="F42" s="17" t="s">
        <v>362</v>
      </c>
      <c r="G42" s="18" t="s">
        <v>363</v>
      </c>
      <c r="H42" s="17">
        <v>876</v>
      </c>
      <c r="I42" s="17">
        <v>11</v>
      </c>
      <c r="J42" s="19">
        <v>0.013046314</v>
      </c>
      <c r="K42" s="20">
        <f t="shared" si="1"/>
        <v>0.002646314</v>
      </c>
      <c r="L42" s="20"/>
    </row>
    <row r="43" ht="41.25" customHeight="1" spans="1:12">
      <c r="A43" s="14" t="s">
        <v>364</v>
      </c>
      <c r="B43" s="15" t="s">
        <v>365</v>
      </c>
      <c r="C43" s="14">
        <v>1532</v>
      </c>
      <c r="D43" s="14">
        <v>23</v>
      </c>
      <c r="E43" s="16">
        <v>0.0153</v>
      </c>
      <c r="F43" s="17" t="s">
        <v>364</v>
      </c>
      <c r="G43" s="18" t="s">
        <v>365</v>
      </c>
      <c r="H43" s="17">
        <v>1625</v>
      </c>
      <c r="I43" s="17">
        <v>24</v>
      </c>
      <c r="J43" s="19">
        <v>0.014762742</v>
      </c>
      <c r="K43" s="20">
        <f t="shared" si="1"/>
        <v>-0.000537257999999999</v>
      </c>
      <c r="L43" s="20"/>
    </row>
    <row r="44" ht="54.75" customHeight="1" spans="1:12">
      <c r="A44" s="14" t="s">
        <v>366</v>
      </c>
      <c r="B44" s="15" t="s">
        <v>367</v>
      </c>
      <c r="C44" s="14">
        <v>1639</v>
      </c>
      <c r="D44" s="14">
        <v>15</v>
      </c>
      <c r="E44" s="16">
        <v>0.0096</v>
      </c>
      <c r="F44" s="17" t="s">
        <v>366</v>
      </c>
      <c r="G44" s="21" t="s">
        <v>44</v>
      </c>
      <c r="H44" s="17">
        <v>1782</v>
      </c>
      <c r="I44" s="17">
        <v>27</v>
      </c>
      <c r="J44" s="19">
        <v>0.015465983</v>
      </c>
      <c r="K44" s="20">
        <f t="shared" si="1"/>
        <v>0.005865983</v>
      </c>
      <c r="L44" s="20"/>
    </row>
    <row r="45" ht="41.25" customHeight="1" spans="1:12">
      <c r="A45" s="14" t="s">
        <v>368</v>
      </c>
      <c r="B45" s="15" t="s">
        <v>369</v>
      </c>
      <c r="C45" s="14">
        <v>1498</v>
      </c>
      <c r="D45" s="14">
        <v>22</v>
      </c>
      <c r="E45" s="16">
        <v>0.0151</v>
      </c>
      <c r="F45" s="17" t="s">
        <v>368</v>
      </c>
      <c r="G45" s="18" t="s">
        <v>369</v>
      </c>
      <c r="H45" s="17">
        <v>1712</v>
      </c>
      <c r="I45" s="17">
        <v>28</v>
      </c>
      <c r="J45" s="19">
        <v>0.016437213</v>
      </c>
      <c r="K45" s="20">
        <f t="shared" si="1"/>
        <v>0.001337213</v>
      </c>
      <c r="L45" s="20"/>
    </row>
    <row r="46" ht="54.75" customHeight="1" spans="1:12">
      <c r="A46" s="14" t="s">
        <v>370</v>
      </c>
      <c r="B46" s="15" t="s">
        <v>371</v>
      </c>
      <c r="C46" s="14">
        <v>1548</v>
      </c>
      <c r="D46" s="14">
        <v>35</v>
      </c>
      <c r="E46" s="16">
        <v>0.0227</v>
      </c>
      <c r="F46" s="17" t="s">
        <v>370</v>
      </c>
      <c r="G46" s="18" t="s">
        <v>371</v>
      </c>
      <c r="H46" s="17">
        <v>1754</v>
      </c>
      <c r="I46" s="17">
        <v>40</v>
      </c>
      <c r="J46" s="19">
        <v>0.023210359</v>
      </c>
      <c r="K46" s="20">
        <f t="shared" si="1"/>
        <v>0.000510358999999998</v>
      </c>
      <c r="L46" s="20"/>
    </row>
    <row r="47" ht="54.75" customHeight="1" spans="1:12">
      <c r="A47" s="14" t="s">
        <v>372</v>
      </c>
      <c r="B47" s="15" t="s">
        <v>373</v>
      </c>
      <c r="C47" s="14">
        <v>1453</v>
      </c>
      <c r="D47" s="14">
        <v>12</v>
      </c>
      <c r="E47" s="16">
        <v>0.0086</v>
      </c>
      <c r="F47" s="17" t="s">
        <v>372</v>
      </c>
      <c r="G47" s="21" t="s">
        <v>46</v>
      </c>
      <c r="H47" s="17">
        <v>1685</v>
      </c>
      <c r="I47" s="17">
        <v>15</v>
      </c>
      <c r="J47" s="26">
        <v>0.009325195</v>
      </c>
      <c r="K47" s="20">
        <f t="shared" si="1"/>
        <v>0.000725195</v>
      </c>
      <c r="L47" s="20" t="s">
        <v>314</v>
      </c>
    </row>
    <row r="48" ht="27.75" customHeight="1" spans="1:12">
      <c r="A48" s="14" t="s">
        <v>374</v>
      </c>
      <c r="B48" s="15" t="s">
        <v>375</v>
      </c>
      <c r="C48" s="14">
        <v>750</v>
      </c>
      <c r="D48" s="14">
        <v>11</v>
      </c>
      <c r="E48" s="16">
        <v>0.0149</v>
      </c>
      <c r="F48" s="17" t="s">
        <v>374</v>
      </c>
      <c r="G48" s="18" t="s">
        <v>375</v>
      </c>
      <c r="H48" s="17">
        <v>847</v>
      </c>
      <c r="I48" s="17">
        <v>11</v>
      </c>
      <c r="J48" s="19">
        <v>0.013647852</v>
      </c>
      <c r="K48" s="20">
        <f t="shared" si="1"/>
        <v>-0.001252148</v>
      </c>
      <c r="L48" s="20"/>
    </row>
    <row r="49" ht="68.25" customHeight="1" spans="1:12">
      <c r="A49" s="14" t="s">
        <v>376</v>
      </c>
      <c r="B49" s="15" t="s">
        <v>377</v>
      </c>
      <c r="C49" s="14">
        <v>481</v>
      </c>
      <c r="D49" s="14">
        <v>8</v>
      </c>
      <c r="E49" s="16">
        <v>0.0173</v>
      </c>
      <c r="F49" s="17" t="s">
        <v>376</v>
      </c>
      <c r="G49" s="18" t="s">
        <v>377</v>
      </c>
      <c r="H49" s="17">
        <v>1343</v>
      </c>
      <c r="I49" s="17">
        <v>11</v>
      </c>
      <c r="J49" s="26">
        <v>0.008187135</v>
      </c>
      <c r="K49" s="25">
        <f t="shared" si="1"/>
        <v>-0.009112865</v>
      </c>
      <c r="L49" s="20" t="s">
        <v>314</v>
      </c>
    </row>
    <row r="50" ht="54.75" customHeight="1" spans="1:12">
      <c r="A50" s="14" t="s">
        <v>378</v>
      </c>
      <c r="B50" s="15" t="s">
        <v>379</v>
      </c>
      <c r="C50" s="14">
        <v>639</v>
      </c>
      <c r="D50" s="14">
        <v>5</v>
      </c>
      <c r="E50" s="16">
        <v>0.0083</v>
      </c>
      <c r="F50" s="17" t="s">
        <v>378</v>
      </c>
      <c r="G50" s="21" t="s">
        <v>47</v>
      </c>
      <c r="H50" s="17">
        <v>793</v>
      </c>
      <c r="I50" s="17">
        <v>6</v>
      </c>
      <c r="J50" s="26">
        <v>0.00864242</v>
      </c>
      <c r="K50" s="20">
        <f t="shared" si="1"/>
        <v>0.00034242</v>
      </c>
      <c r="L50" s="20" t="s">
        <v>314</v>
      </c>
    </row>
    <row r="51" ht="41.25" customHeight="1" spans="1:12">
      <c r="A51" s="14" t="s">
        <v>380</v>
      </c>
      <c r="B51" s="15" t="s">
        <v>381</v>
      </c>
      <c r="C51" s="14">
        <v>1472</v>
      </c>
      <c r="D51" s="14">
        <v>11</v>
      </c>
      <c r="E51" s="16">
        <v>0.008</v>
      </c>
      <c r="F51" s="17" t="s">
        <v>380</v>
      </c>
      <c r="G51" s="21" t="s">
        <v>48</v>
      </c>
      <c r="H51" s="17">
        <v>292</v>
      </c>
      <c r="I51" s="17">
        <v>4</v>
      </c>
      <c r="J51" s="19">
        <v>0.014677104</v>
      </c>
      <c r="K51" s="20">
        <f t="shared" si="1"/>
        <v>0.006677104</v>
      </c>
      <c r="L51" s="20"/>
    </row>
    <row r="52" ht="54.75" customHeight="1" spans="1:12">
      <c r="A52" s="14" t="s">
        <v>382</v>
      </c>
      <c r="B52" s="15" t="s">
        <v>383</v>
      </c>
      <c r="C52" s="14">
        <v>1509</v>
      </c>
      <c r="D52" s="14">
        <v>16</v>
      </c>
      <c r="E52" s="16">
        <v>0.0112</v>
      </c>
      <c r="F52" s="17" t="s">
        <v>382</v>
      </c>
      <c r="G52" s="21" t="s">
        <v>49</v>
      </c>
      <c r="H52" s="17">
        <v>1646</v>
      </c>
      <c r="I52" s="17">
        <v>21</v>
      </c>
      <c r="J52" s="19">
        <v>0.013018573</v>
      </c>
      <c r="K52" s="20">
        <f t="shared" si="1"/>
        <v>0.001818573</v>
      </c>
      <c r="L52" s="20"/>
    </row>
    <row r="53" ht="41.25" customHeight="1" spans="1:12">
      <c r="A53" s="14" t="s">
        <v>384</v>
      </c>
      <c r="B53" s="15" t="s">
        <v>385</v>
      </c>
      <c r="C53" s="14">
        <v>1558</v>
      </c>
      <c r="D53" s="14">
        <v>17</v>
      </c>
      <c r="E53" s="16">
        <v>0.0112</v>
      </c>
      <c r="F53" s="17" t="s">
        <v>384</v>
      </c>
      <c r="G53" s="18" t="s">
        <v>385</v>
      </c>
      <c r="H53" s="17"/>
      <c r="I53" s="17"/>
      <c r="J53" s="19"/>
      <c r="K53" s="20"/>
      <c r="L53" s="20"/>
    </row>
    <row r="54" ht="41.25" customHeight="1" spans="1:12">
      <c r="A54" s="14" t="s">
        <v>386</v>
      </c>
      <c r="B54" s="15" t="s">
        <v>387</v>
      </c>
      <c r="C54" s="14">
        <v>1421</v>
      </c>
      <c r="D54" s="14">
        <v>13</v>
      </c>
      <c r="E54" s="16">
        <v>0.0094</v>
      </c>
      <c r="F54" s="17" t="s">
        <v>386</v>
      </c>
      <c r="G54" s="21" t="s">
        <v>50</v>
      </c>
      <c r="H54" s="17"/>
      <c r="I54" s="17"/>
      <c r="J54" s="19"/>
      <c r="K54" s="20"/>
      <c r="L54" s="20"/>
    </row>
    <row r="55" ht="41.25" customHeight="1" spans="1:12">
      <c r="A55" s="14" t="s">
        <v>388</v>
      </c>
      <c r="B55" s="15" t="s">
        <v>389</v>
      </c>
      <c r="C55" s="14">
        <v>1611</v>
      </c>
      <c r="D55" s="14">
        <v>36</v>
      </c>
      <c r="E55" s="16">
        <v>0.0226</v>
      </c>
      <c r="F55" s="17" t="s">
        <v>388</v>
      </c>
      <c r="G55" s="18" t="s">
        <v>389</v>
      </c>
      <c r="H55" s="17">
        <v>1759</v>
      </c>
      <c r="I55" s="17">
        <v>44</v>
      </c>
      <c r="J55" s="19">
        <v>0.025087278</v>
      </c>
      <c r="K55" s="20">
        <f t="shared" ref="K55:K81" si="2">J55-E55</f>
        <v>0.002487278</v>
      </c>
      <c r="L55" s="20"/>
    </row>
    <row r="56" ht="54.75" customHeight="1" spans="1:12">
      <c r="A56" s="14" t="s">
        <v>390</v>
      </c>
      <c r="B56" s="15" t="s">
        <v>391</v>
      </c>
      <c r="C56" s="14">
        <v>976</v>
      </c>
      <c r="D56" s="14">
        <v>8</v>
      </c>
      <c r="E56" s="16">
        <v>0.0082</v>
      </c>
      <c r="F56" s="17" t="s">
        <v>390</v>
      </c>
      <c r="G56" s="21" t="s">
        <v>58</v>
      </c>
      <c r="H56" s="17">
        <v>85</v>
      </c>
      <c r="I56" s="17">
        <v>1</v>
      </c>
      <c r="J56" s="19">
        <v>0.01512605</v>
      </c>
      <c r="K56" s="20">
        <f t="shared" si="2"/>
        <v>0.00692605</v>
      </c>
      <c r="L56" s="20"/>
    </row>
    <row r="57" ht="54.75" customHeight="1" spans="1:12">
      <c r="A57" s="14" t="s">
        <v>392</v>
      </c>
      <c r="B57" s="15" t="s">
        <v>393</v>
      </c>
      <c r="C57" s="14">
        <v>1057</v>
      </c>
      <c r="D57" s="14">
        <v>12</v>
      </c>
      <c r="E57" s="16">
        <v>0.0116</v>
      </c>
      <c r="F57" s="17" t="s">
        <v>392</v>
      </c>
      <c r="G57" s="21" t="s">
        <v>60</v>
      </c>
      <c r="H57" s="17">
        <v>105</v>
      </c>
      <c r="I57" s="17">
        <v>2</v>
      </c>
      <c r="J57" s="19">
        <v>0.024423338</v>
      </c>
      <c r="K57" s="20">
        <f t="shared" si="2"/>
        <v>0.012823338</v>
      </c>
      <c r="L57" s="20"/>
    </row>
    <row r="58" ht="27.75" customHeight="1" spans="1:12">
      <c r="A58" s="14" t="s">
        <v>394</v>
      </c>
      <c r="B58" s="15" t="s">
        <v>395</v>
      </c>
      <c r="C58" s="14">
        <v>1487</v>
      </c>
      <c r="D58" s="14">
        <v>25</v>
      </c>
      <c r="E58" s="16">
        <v>0.0174</v>
      </c>
      <c r="F58" s="17" t="s">
        <v>394</v>
      </c>
      <c r="G58" s="18" t="s">
        <v>395</v>
      </c>
      <c r="H58" s="17">
        <v>1763</v>
      </c>
      <c r="I58" s="17">
        <v>32</v>
      </c>
      <c r="J58" s="19">
        <v>0.018142059</v>
      </c>
      <c r="K58" s="20">
        <f t="shared" si="2"/>
        <v>0.000742059</v>
      </c>
      <c r="L58" s="20"/>
    </row>
    <row r="59" ht="27.75" customHeight="1" spans="1:12">
      <c r="A59" s="14" t="s">
        <v>396</v>
      </c>
      <c r="B59" s="15" t="s">
        <v>397</v>
      </c>
      <c r="C59" s="14">
        <v>1304</v>
      </c>
      <c r="D59" s="14">
        <v>17</v>
      </c>
      <c r="E59" s="16">
        <v>0.0133</v>
      </c>
      <c r="F59" s="17" t="s">
        <v>396</v>
      </c>
      <c r="G59" s="18" t="s">
        <v>397</v>
      </c>
      <c r="H59" s="17">
        <v>1379</v>
      </c>
      <c r="I59" s="17">
        <v>16</v>
      </c>
      <c r="J59" s="19">
        <v>0.01190846</v>
      </c>
      <c r="K59" s="20">
        <f t="shared" si="2"/>
        <v>-0.00139154</v>
      </c>
      <c r="L59" s="20"/>
    </row>
    <row r="60" ht="54.75" customHeight="1" spans="1:12">
      <c r="A60" s="14" t="s">
        <v>398</v>
      </c>
      <c r="B60" s="15" t="s">
        <v>399</v>
      </c>
      <c r="C60" s="14">
        <v>1618</v>
      </c>
      <c r="D60" s="14">
        <v>27</v>
      </c>
      <c r="E60" s="16">
        <v>0.017</v>
      </c>
      <c r="F60" s="17" t="s">
        <v>398</v>
      </c>
      <c r="G60" s="18" t="s">
        <v>399</v>
      </c>
      <c r="H60" s="17">
        <v>2422</v>
      </c>
      <c r="I60" s="17">
        <v>39</v>
      </c>
      <c r="J60" s="19">
        <v>0.016157566</v>
      </c>
      <c r="K60" s="20">
        <f t="shared" si="2"/>
        <v>-0.000842434</v>
      </c>
      <c r="L60" s="20"/>
    </row>
    <row r="61" ht="41.25" customHeight="1" spans="1:12">
      <c r="A61" s="14" t="s">
        <v>400</v>
      </c>
      <c r="B61" s="15" t="s">
        <v>401</v>
      </c>
      <c r="C61" s="14">
        <v>1260</v>
      </c>
      <c r="D61" s="14">
        <v>22</v>
      </c>
      <c r="E61" s="16">
        <v>0.0179</v>
      </c>
      <c r="F61" s="17" t="s">
        <v>400</v>
      </c>
      <c r="G61" s="18" t="s">
        <v>401</v>
      </c>
      <c r="H61" s="17">
        <v>680</v>
      </c>
      <c r="I61" s="17">
        <v>12</v>
      </c>
      <c r="J61" s="19">
        <v>0.018063432</v>
      </c>
      <c r="K61" s="20">
        <f t="shared" si="2"/>
        <v>0.000163432000000002</v>
      </c>
      <c r="L61" s="20"/>
    </row>
    <row r="62" ht="54.75" customHeight="1" spans="1:12">
      <c r="A62" s="14" t="s">
        <v>402</v>
      </c>
      <c r="B62" s="15" t="s">
        <v>403</v>
      </c>
      <c r="C62" s="14">
        <v>1664</v>
      </c>
      <c r="D62" s="14">
        <v>35</v>
      </c>
      <c r="E62" s="16">
        <v>0.0215</v>
      </c>
      <c r="F62" s="17" t="s">
        <v>402</v>
      </c>
      <c r="G62" s="18" t="s">
        <v>403</v>
      </c>
      <c r="H62" s="17">
        <v>2298</v>
      </c>
      <c r="I62" s="17">
        <v>46</v>
      </c>
      <c r="J62" s="19">
        <v>0.020259773</v>
      </c>
      <c r="K62" s="20">
        <f t="shared" si="2"/>
        <v>-0.001240227</v>
      </c>
      <c r="L62" s="20"/>
    </row>
    <row r="63" ht="27.75" customHeight="1" spans="1:12">
      <c r="A63" s="14" t="s">
        <v>404</v>
      </c>
      <c r="B63" s="15" t="s">
        <v>405</v>
      </c>
      <c r="C63" s="14">
        <v>1664</v>
      </c>
      <c r="D63" s="14">
        <v>19</v>
      </c>
      <c r="E63" s="16">
        <v>0.0118</v>
      </c>
      <c r="F63" s="17" t="s">
        <v>404</v>
      </c>
      <c r="G63" s="18" t="s">
        <v>405</v>
      </c>
      <c r="H63" s="17">
        <v>2326</v>
      </c>
      <c r="I63" s="17">
        <v>28</v>
      </c>
      <c r="J63" s="19">
        <v>0.012035616</v>
      </c>
      <c r="K63" s="20">
        <f t="shared" si="2"/>
        <v>0.000235616000000001</v>
      </c>
      <c r="L63" s="20"/>
    </row>
    <row r="64" ht="54.75" customHeight="1" spans="1:12">
      <c r="A64" s="14" t="s">
        <v>406</v>
      </c>
      <c r="B64" s="15" t="s">
        <v>407</v>
      </c>
      <c r="C64" s="14">
        <v>1569</v>
      </c>
      <c r="D64" s="14">
        <v>17</v>
      </c>
      <c r="E64" s="16">
        <v>0.0112</v>
      </c>
      <c r="F64" s="17" t="s">
        <v>406</v>
      </c>
      <c r="G64" s="21" t="s">
        <v>61</v>
      </c>
      <c r="H64" s="17">
        <v>2389</v>
      </c>
      <c r="I64" s="17">
        <v>25</v>
      </c>
      <c r="J64" s="19">
        <v>0.010463378</v>
      </c>
      <c r="K64" s="20">
        <f t="shared" si="2"/>
        <v>-0.000736621999999999</v>
      </c>
      <c r="L64" s="20"/>
    </row>
    <row r="65" ht="41.25" customHeight="1" spans="1:12">
      <c r="A65" s="14" t="s">
        <v>408</v>
      </c>
      <c r="B65" s="15" t="s">
        <v>409</v>
      </c>
      <c r="C65" s="14">
        <v>1644</v>
      </c>
      <c r="D65" s="14">
        <v>25</v>
      </c>
      <c r="E65" s="16">
        <v>0.0152</v>
      </c>
      <c r="F65" s="17" t="s">
        <v>408</v>
      </c>
      <c r="G65" s="18" t="s">
        <v>409</v>
      </c>
      <c r="H65" s="17">
        <v>2471</v>
      </c>
      <c r="I65" s="17">
        <v>36</v>
      </c>
      <c r="J65" s="19">
        <v>0.014800254</v>
      </c>
      <c r="K65" s="20">
        <f t="shared" si="2"/>
        <v>-0.000399745999999999</v>
      </c>
      <c r="L65" s="20"/>
    </row>
    <row r="66" ht="54.75" customHeight="1" spans="1:12">
      <c r="A66" s="14" t="s">
        <v>410</v>
      </c>
      <c r="B66" s="15" t="s">
        <v>411</v>
      </c>
      <c r="C66" s="14">
        <v>1647</v>
      </c>
      <c r="D66" s="14">
        <v>17</v>
      </c>
      <c r="E66" s="16">
        <v>0.0105</v>
      </c>
      <c r="F66" s="17" t="s">
        <v>410</v>
      </c>
      <c r="G66" s="21" t="s">
        <v>53</v>
      </c>
      <c r="H66" s="17">
        <v>2435</v>
      </c>
      <c r="I66" s="17">
        <v>35</v>
      </c>
      <c r="J66" s="19">
        <v>0.014490203</v>
      </c>
      <c r="K66" s="20">
        <f t="shared" si="2"/>
        <v>0.003990203</v>
      </c>
      <c r="L66" s="20"/>
    </row>
    <row r="67" ht="41.25" customHeight="1" spans="1:12">
      <c r="A67" s="14" t="s">
        <v>412</v>
      </c>
      <c r="B67" s="15" t="s">
        <v>413</v>
      </c>
      <c r="C67" s="14">
        <v>1616</v>
      </c>
      <c r="D67" s="14">
        <v>17</v>
      </c>
      <c r="E67" s="16">
        <v>0.0107</v>
      </c>
      <c r="F67" s="17" t="s">
        <v>412</v>
      </c>
      <c r="G67" s="18" t="s">
        <v>413</v>
      </c>
      <c r="H67" s="17">
        <v>1699</v>
      </c>
      <c r="I67" s="17">
        <v>19</v>
      </c>
      <c r="J67" s="19">
        <v>0.011603464</v>
      </c>
      <c r="K67" s="20">
        <f t="shared" si="2"/>
        <v>0.000903464000000001</v>
      </c>
      <c r="L67" s="20"/>
    </row>
    <row r="68" ht="54.75" customHeight="1" spans="1:12">
      <c r="A68" s="14" t="s">
        <v>414</v>
      </c>
      <c r="B68" s="15" t="s">
        <v>415</v>
      </c>
      <c r="C68" s="14">
        <v>1209</v>
      </c>
      <c r="D68" s="14">
        <v>17</v>
      </c>
      <c r="E68" s="16">
        <v>0.0144</v>
      </c>
      <c r="F68" s="17" t="s">
        <v>414</v>
      </c>
      <c r="G68" s="18" t="s">
        <v>415</v>
      </c>
      <c r="H68" s="17">
        <v>1263</v>
      </c>
      <c r="I68" s="17">
        <v>22</v>
      </c>
      <c r="J68" s="19">
        <v>0.017859161</v>
      </c>
      <c r="K68" s="20">
        <f t="shared" si="2"/>
        <v>0.003459161</v>
      </c>
      <c r="L68" s="20"/>
    </row>
    <row r="69" ht="54.75" customHeight="1" spans="1:12">
      <c r="A69" s="14" t="s">
        <v>416</v>
      </c>
      <c r="B69" s="15" t="s">
        <v>417</v>
      </c>
      <c r="C69" s="14">
        <v>1641</v>
      </c>
      <c r="D69" s="14">
        <v>31</v>
      </c>
      <c r="E69" s="16">
        <v>0.0191</v>
      </c>
      <c r="F69" s="17" t="s">
        <v>416</v>
      </c>
      <c r="G69" s="18" t="s">
        <v>417</v>
      </c>
      <c r="H69" s="17">
        <v>1711</v>
      </c>
      <c r="I69" s="17">
        <v>34</v>
      </c>
      <c r="J69" s="19">
        <v>0.020198648</v>
      </c>
      <c r="K69" s="20">
        <f t="shared" si="2"/>
        <v>0.001098648</v>
      </c>
      <c r="L69" s="20"/>
    </row>
    <row r="70" ht="41.25" customHeight="1" spans="1:12">
      <c r="A70" s="14" t="s">
        <v>418</v>
      </c>
      <c r="B70" s="15" t="s">
        <v>419</v>
      </c>
      <c r="C70" s="14">
        <v>1614</v>
      </c>
      <c r="D70" s="14">
        <v>15</v>
      </c>
      <c r="E70" s="16">
        <v>0.0094</v>
      </c>
      <c r="F70" s="17" t="s">
        <v>418</v>
      </c>
      <c r="G70" s="21" t="s">
        <v>54</v>
      </c>
      <c r="H70" s="17">
        <v>1648</v>
      </c>
      <c r="I70" s="17">
        <v>16</v>
      </c>
      <c r="J70" s="26">
        <v>0.009703691</v>
      </c>
      <c r="K70" s="20">
        <f t="shared" si="2"/>
        <v>0.000303691</v>
      </c>
      <c r="L70" s="20" t="s">
        <v>314</v>
      </c>
    </row>
    <row r="71" ht="54.75" customHeight="1" spans="1:12">
      <c r="A71" s="14" t="s">
        <v>420</v>
      </c>
      <c r="B71" s="15" t="s">
        <v>421</v>
      </c>
      <c r="C71" s="14">
        <v>440</v>
      </c>
      <c r="D71" s="14">
        <v>4</v>
      </c>
      <c r="E71" s="16">
        <v>0.0107</v>
      </c>
      <c r="F71" s="17" t="s">
        <v>420</v>
      </c>
      <c r="G71" s="21" t="s">
        <v>55</v>
      </c>
      <c r="H71" s="17">
        <v>565</v>
      </c>
      <c r="I71" s="17">
        <v>4</v>
      </c>
      <c r="J71" s="26">
        <v>0.007076068</v>
      </c>
      <c r="K71" s="20">
        <f t="shared" si="2"/>
        <v>-0.003623932</v>
      </c>
      <c r="L71" s="20" t="s">
        <v>314</v>
      </c>
    </row>
    <row r="72" ht="54.75" customHeight="1" spans="1:12">
      <c r="A72" s="14" t="s">
        <v>422</v>
      </c>
      <c r="B72" s="15" t="s">
        <v>423</v>
      </c>
      <c r="C72" s="14">
        <v>453</v>
      </c>
      <c r="D72" s="14">
        <v>4</v>
      </c>
      <c r="E72" s="16">
        <v>0.0104</v>
      </c>
      <c r="F72" s="17" t="s">
        <v>422</v>
      </c>
      <c r="G72" s="18" t="s">
        <v>423</v>
      </c>
      <c r="H72" s="17">
        <v>571</v>
      </c>
      <c r="I72" s="17">
        <v>5</v>
      </c>
      <c r="J72" s="26">
        <v>0.008993255</v>
      </c>
      <c r="K72" s="20">
        <f t="shared" si="2"/>
        <v>-0.001406745</v>
      </c>
      <c r="L72" s="20" t="s">
        <v>314</v>
      </c>
    </row>
    <row r="73" ht="54.75" customHeight="1" spans="1:12">
      <c r="A73" s="14" t="s">
        <v>424</v>
      </c>
      <c r="B73" s="15" t="s">
        <v>425</v>
      </c>
      <c r="C73" s="14">
        <v>747</v>
      </c>
      <c r="D73" s="14">
        <v>5</v>
      </c>
      <c r="E73" s="16">
        <v>0.0069</v>
      </c>
      <c r="F73" s="17" t="s">
        <v>424</v>
      </c>
      <c r="G73" s="21" t="s">
        <v>56</v>
      </c>
      <c r="H73" s="17">
        <v>760</v>
      </c>
      <c r="I73" s="17">
        <v>6</v>
      </c>
      <c r="J73" s="26">
        <v>0.009022556</v>
      </c>
      <c r="K73" s="20">
        <f t="shared" si="2"/>
        <v>0.002122556</v>
      </c>
      <c r="L73" s="20" t="s">
        <v>314</v>
      </c>
    </row>
    <row r="74" ht="68.25" customHeight="1" spans="1:12">
      <c r="A74" s="14" t="s">
        <v>426</v>
      </c>
      <c r="B74" s="15" t="s">
        <v>427</v>
      </c>
      <c r="C74" s="14">
        <v>1706</v>
      </c>
      <c r="D74" s="14">
        <v>14</v>
      </c>
      <c r="E74" s="16">
        <v>0.0086</v>
      </c>
      <c r="F74" s="17" t="s">
        <v>426</v>
      </c>
      <c r="G74" s="21" t="s">
        <v>57</v>
      </c>
      <c r="H74" s="17">
        <v>1669</v>
      </c>
      <c r="I74" s="17">
        <v>9</v>
      </c>
      <c r="J74" s="26">
        <v>0.005902986</v>
      </c>
      <c r="K74" s="20">
        <f t="shared" si="2"/>
        <v>-0.002697014</v>
      </c>
      <c r="L74" s="20" t="s">
        <v>314</v>
      </c>
    </row>
    <row r="75" ht="54.75" customHeight="1" spans="1:12">
      <c r="A75" s="14" t="s">
        <v>428</v>
      </c>
      <c r="B75" s="15" t="s">
        <v>429</v>
      </c>
      <c r="C75" s="14">
        <v>1672</v>
      </c>
      <c r="D75" s="14">
        <v>24</v>
      </c>
      <c r="E75" s="16">
        <v>0.0147</v>
      </c>
      <c r="F75" s="17" t="s">
        <v>428</v>
      </c>
      <c r="G75" s="18" t="s">
        <v>429</v>
      </c>
      <c r="H75" s="17">
        <v>1678</v>
      </c>
      <c r="I75" s="17">
        <v>27</v>
      </c>
      <c r="J75" s="19">
        <v>0.01642693</v>
      </c>
      <c r="K75" s="20">
        <f t="shared" si="2"/>
        <v>0.00172693</v>
      </c>
      <c r="L75" s="20"/>
    </row>
    <row r="76" ht="54.75" customHeight="1" spans="1:12">
      <c r="A76" s="14" t="s">
        <v>430</v>
      </c>
      <c r="B76" s="15" t="s">
        <v>431</v>
      </c>
      <c r="C76" s="14">
        <v>1686</v>
      </c>
      <c r="D76" s="14">
        <v>26</v>
      </c>
      <c r="E76" s="16">
        <v>0.0158</v>
      </c>
      <c r="F76" s="17" t="s">
        <v>430</v>
      </c>
      <c r="G76" s="18" t="s">
        <v>431</v>
      </c>
      <c r="H76" s="17">
        <v>1678</v>
      </c>
      <c r="I76" s="17">
        <v>26</v>
      </c>
      <c r="J76" s="19">
        <v>0.015829787</v>
      </c>
      <c r="K76" s="20">
        <f t="shared" si="2"/>
        <v>2.97869999999999e-5</v>
      </c>
      <c r="L76" s="20"/>
    </row>
    <row r="77" ht="41.25" customHeight="1" spans="1:12">
      <c r="A77" s="14" t="s">
        <v>432</v>
      </c>
      <c r="B77" s="15" t="s">
        <v>433</v>
      </c>
      <c r="C77" s="14">
        <v>1679</v>
      </c>
      <c r="D77" s="14">
        <v>19</v>
      </c>
      <c r="E77" s="16">
        <v>0.0117</v>
      </c>
      <c r="F77" s="17" t="s">
        <v>432</v>
      </c>
      <c r="G77" s="18" t="s">
        <v>433</v>
      </c>
      <c r="H77" s="17">
        <v>1668</v>
      </c>
      <c r="I77" s="17">
        <v>19</v>
      </c>
      <c r="J77" s="19">
        <v>0.01173347</v>
      </c>
      <c r="K77" s="20">
        <f t="shared" si="2"/>
        <v>3.3469999999999e-5</v>
      </c>
      <c r="L77" s="20"/>
    </row>
    <row r="78" ht="41.25" customHeight="1" spans="1:12">
      <c r="A78" s="14" t="s">
        <v>434</v>
      </c>
      <c r="B78" s="15" t="s">
        <v>435</v>
      </c>
      <c r="C78" s="14">
        <v>1629</v>
      </c>
      <c r="D78" s="14">
        <v>24</v>
      </c>
      <c r="E78" s="16">
        <v>0.015</v>
      </c>
      <c r="F78" s="17" t="s">
        <v>434</v>
      </c>
      <c r="G78" s="18" t="s">
        <v>435</v>
      </c>
      <c r="H78" s="17">
        <v>1680</v>
      </c>
      <c r="I78" s="17">
        <v>31</v>
      </c>
      <c r="J78" s="19">
        <v>0.018697943</v>
      </c>
      <c r="K78" s="20">
        <f t="shared" si="2"/>
        <v>0.003697943</v>
      </c>
      <c r="L78" s="20"/>
    </row>
    <row r="79" ht="41.25" customHeight="1" spans="1:12">
      <c r="A79" s="14" t="s">
        <v>436</v>
      </c>
      <c r="B79" s="15" t="s">
        <v>437</v>
      </c>
      <c r="C79" s="14">
        <v>1634</v>
      </c>
      <c r="D79" s="14">
        <v>20</v>
      </c>
      <c r="E79" s="16">
        <v>0.0123</v>
      </c>
      <c r="F79" s="17" t="s">
        <v>436</v>
      </c>
      <c r="G79" s="18" t="s">
        <v>437</v>
      </c>
      <c r="H79" s="17">
        <v>1620</v>
      </c>
      <c r="I79" s="17">
        <v>21</v>
      </c>
      <c r="J79" s="19">
        <v>0.013044245</v>
      </c>
      <c r="K79" s="20">
        <f t="shared" si="2"/>
        <v>0.000744244999999999</v>
      </c>
      <c r="L79" s="20"/>
    </row>
    <row r="80" ht="54.75" customHeight="1" spans="1:12">
      <c r="A80" s="14" t="s">
        <v>438</v>
      </c>
      <c r="B80" s="15" t="s">
        <v>439</v>
      </c>
      <c r="C80" s="14">
        <v>1484</v>
      </c>
      <c r="D80" s="14">
        <v>15</v>
      </c>
      <c r="E80" s="16">
        <v>0.0107</v>
      </c>
      <c r="F80" s="17" t="s">
        <v>438</v>
      </c>
      <c r="G80" s="21" t="s">
        <v>59</v>
      </c>
      <c r="H80" s="17">
        <v>1148</v>
      </c>
      <c r="I80" s="17">
        <v>11</v>
      </c>
      <c r="J80" s="19">
        <v>0.009955202</v>
      </c>
      <c r="K80" s="20">
        <f t="shared" si="2"/>
        <v>-0.000744798</v>
      </c>
      <c r="L80" s="20"/>
    </row>
    <row r="81" ht="41.25" customHeight="1" spans="1:12">
      <c r="A81" s="14" t="s">
        <v>440</v>
      </c>
      <c r="B81" s="15" t="s">
        <v>441</v>
      </c>
      <c r="C81" s="14">
        <v>1010</v>
      </c>
      <c r="D81" s="14">
        <v>14</v>
      </c>
      <c r="E81" s="16">
        <v>0.0144</v>
      </c>
      <c r="F81" s="17" t="s">
        <v>440</v>
      </c>
      <c r="G81" s="18" t="s">
        <v>441</v>
      </c>
      <c r="H81" s="17">
        <v>1059</v>
      </c>
      <c r="I81" s="17">
        <v>15</v>
      </c>
      <c r="J81" s="19">
        <v>0.014692007</v>
      </c>
      <c r="K81" s="20">
        <f t="shared" si="2"/>
        <v>0.000292007</v>
      </c>
      <c r="L81" s="20"/>
    </row>
    <row r="82" ht="27.75" customHeight="1" spans="1:12">
      <c r="A82" s="14" t="s">
        <v>442</v>
      </c>
      <c r="B82" s="15" t="s">
        <v>443</v>
      </c>
      <c r="C82" s="14">
        <v>1742</v>
      </c>
      <c r="D82" s="14">
        <v>26</v>
      </c>
      <c r="E82" s="16">
        <v>0.0149</v>
      </c>
      <c r="F82" s="17" t="s">
        <v>442</v>
      </c>
      <c r="G82" s="18" t="s">
        <v>443</v>
      </c>
      <c r="H82" s="17"/>
      <c r="I82" s="17"/>
      <c r="J82" s="19"/>
      <c r="K82" s="20"/>
      <c r="L82" s="20"/>
    </row>
    <row r="83" ht="41.25" customHeight="1" spans="1:12">
      <c r="A83" s="14" t="s">
        <v>444</v>
      </c>
      <c r="B83" s="15" t="s">
        <v>445</v>
      </c>
      <c r="C83" s="14">
        <v>1030</v>
      </c>
      <c r="D83" s="14">
        <v>19</v>
      </c>
      <c r="E83" s="16">
        <v>0.0186</v>
      </c>
      <c r="F83" s="17" t="s">
        <v>444</v>
      </c>
      <c r="G83" s="18" t="s">
        <v>445</v>
      </c>
      <c r="H83" s="17"/>
      <c r="I83" s="17"/>
      <c r="J83" s="19"/>
      <c r="K83" s="20"/>
      <c r="L83" s="20"/>
    </row>
    <row r="84" ht="41.25" customHeight="1" spans="1:12">
      <c r="A84" s="14" t="s">
        <v>446</v>
      </c>
      <c r="B84" s="15" t="s">
        <v>447</v>
      </c>
      <c r="C84" s="14">
        <v>1731</v>
      </c>
      <c r="D84" s="14">
        <v>31</v>
      </c>
      <c r="E84" s="16">
        <v>0.0179</v>
      </c>
      <c r="F84" s="17" t="s">
        <v>446</v>
      </c>
      <c r="G84" s="18" t="s">
        <v>447</v>
      </c>
      <c r="H84" s="17">
        <v>1704</v>
      </c>
      <c r="I84" s="17">
        <v>37</v>
      </c>
      <c r="J84" s="19">
        <v>0.02179197</v>
      </c>
      <c r="K84" s="20">
        <f t="shared" ref="K84:K137" si="3">J84-E84</f>
        <v>0.00389197</v>
      </c>
      <c r="L84" s="20"/>
    </row>
    <row r="85" ht="54.75" customHeight="1" spans="1:12">
      <c r="A85" s="14" t="s">
        <v>448</v>
      </c>
      <c r="B85" s="15" t="s">
        <v>449</v>
      </c>
      <c r="C85" s="14">
        <v>1788</v>
      </c>
      <c r="D85" s="14">
        <v>8</v>
      </c>
      <c r="E85" s="16">
        <v>0.0049</v>
      </c>
      <c r="F85" s="17" t="s">
        <v>448</v>
      </c>
      <c r="G85" s="21" t="s">
        <v>64</v>
      </c>
      <c r="H85" s="17">
        <v>1665</v>
      </c>
      <c r="I85" s="17">
        <v>10</v>
      </c>
      <c r="J85" s="26">
        <v>0.006174428</v>
      </c>
      <c r="K85" s="20">
        <f t="shared" si="3"/>
        <v>0.001274428</v>
      </c>
      <c r="L85" s="20" t="s">
        <v>314</v>
      </c>
    </row>
    <row r="86" ht="41.25" customHeight="1" spans="1:12">
      <c r="A86" s="14" t="s">
        <v>450</v>
      </c>
      <c r="B86" s="15" t="s">
        <v>451</v>
      </c>
      <c r="C86" s="14">
        <v>1649</v>
      </c>
      <c r="D86" s="14">
        <v>18</v>
      </c>
      <c r="E86" s="16">
        <v>0.0113</v>
      </c>
      <c r="F86" s="17" t="s">
        <v>450</v>
      </c>
      <c r="G86" s="18" t="s">
        <v>451</v>
      </c>
      <c r="H86" s="17">
        <v>1558</v>
      </c>
      <c r="I86" s="17">
        <v>16</v>
      </c>
      <c r="J86" s="19">
        <v>0.010359369</v>
      </c>
      <c r="K86" s="20">
        <f t="shared" si="3"/>
        <v>-0.000940630999999999</v>
      </c>
      <c r="L86" s="20"/>
    </row>
    <row r="87" ht="54.75" customHeight="1" spans="1:12">
      <c r="A87" s="14" t="s">
        <v>452</v>
      </c>
      <c r="B87" s="15" t="s">
        <v>453</v>
      </c>
      <c r="C87" s="14">
        <v>1714</v>
      </c>
      <c r="D87" s="14">
        <v>12</v>
      </c>
      <c r="E87" s="16">
        <v>0.0074</v>
      </c>
      <c r="F87" s="17" t="s">
        <v>452</v>
      </c>
      <c r="G87" s="21" t="s">
        <v>71</v>
      </c>
      <c r="H87" s="17">
        <v>1571</v>
      </c>
      <c r="I87" s="17">
        <v>11</v>
      </c>
      <c r="J87" s="26">
        <v>0.007272727</v>
      </c>
      <c r="K87" s="20">
        <f t="shared" si="3"/>
        <v>-0.000127273000000001</v>
      </c>
      <c r="L87" s="20" t="s">
        <v>314</v>
      </c>
    </row>
    <row r="88" ht="41.25" customHeight="1" spans="1:12">
      <c r="A88" s="14" t="s">
        <v>454</v>
      </c>
      <c r="B88" s="15" t="s">
        <v>455</v>
      </c>
      <c r="C88" s="14">
        <v>1645</v>
      </c>
      <c r="D88" s="14">
        <v>18</v>
      </c>
      <c r="E88" s="16">
        <v>0.0113</v>
      </c>
      <c r="F88" s="17" t="s">
        <v>454</v>
      </c>
      <c r="G88" s="18" t="s">
        <v>455</v>
      </c>
      <c r="H88" s="17">
        <v>1557</v>
      </c>
      <c r="I88" s="17">
        <v>19</v>
      </c>
      <c r="J88" s="19">
        <v>0.012566502</v>
      </c>
      <c r="K88" s="20">
        <f t="shared" si="3"/>
        <v>0.001266502</v>
      </c>
      <c r="L88" s="20"/>
    </row>
    <row r="89" ht="54.75" customHeight="1" spans="1:12">
      <c r="A89" s="14" t="s">
        <v>456</v>
      </c>
      <c r="B89" s="15" t="s">
        <v>457</v>
      </c>
      <c r="C89" s="14">
        <v>850</v>
      </c>
      <c r="D89" s="14">
        <v>10</v>
      </c>
      <c r="E89" s="16">
        <v>0.0123</v>
      </c>
      <c r="F89" s="17" t="s">
        <v>456</v>
      </c>
      <c r="G89" s="21" t="s">
        <v>72</v>
      </c>
      <c r="H89" s="17">
        <v>1586</v>
      </c>
      <c r="I89" s="17">
        <v>32</v>
      </c>
      <c r="J89" s="19">
        <v>0.02053684</v>
      </c>
      <c r="K89" s="20">
        <f t="shared" si="3"/>
        <v>0.00823684</v>
      </c>
      <c r="L89" s="20"/>
    </row>
    <row r="90" ht="41.25" customHeight="1" spans="1:12">
      <c r="A90" s="14" t="s">
        <v>458</v>
      </c>
      <c r="B90" s="15" t="s">
        <v>459</v>
      </c>
      <c r="C90" s="14">
        <v>1758</v>
      </c>
      <c r="D90" s="14">
        <v>26</v>
      </c>
      <c r="E90" s="16">
        <v>0.0149</v>
      </c>
      <c r="F90" s="17" t="s">
        <v>458</v>
      </c>
      <c r="G90" s="18" t="s">
        <v>459</v>
      </c>
      <c r="H90" s="17">
        <v>2170</v>
      </c>
      <c r="I90" s="17">
        <v>38</v>
      </c>
      <c r="J90" s="19">
        <v>0.017773682</v>
      </c>
      <c r="K90" s="20">
        <f t="shared" si="3"/>
        <v>0.002873682</v>
      </c>
      <c r="L90" s="20"/>
    </row>
    <row r="91" ht="68.25" customHeight="1" spans="1:12">
      <c r="A91" s="14" t="s">
        <v>460</v>
      </c>
      <c r="B91" s="15" t="s">
        <v>461</v>
      </c>
      <c r="C91" s="14">
        <v>377</v>
      </c>
      <c r="D91" s="14">
        <v>5</v>
      </c>
      <c r="E91" s="16">
        <v>0.0144</v>
      </c>
      <c r="F91" s="17" t="s">
        <v>460</v>
      </c>
      <c r="G91" s="18" t="s">
        <v>461</v>
      </c>
      <c r="H91" s="17">
        <v>1135</v>
      </c>
      <c r="I91" s="17">
        <v>10</v>
      </c>
      <c r="J91" s="26">
        <v>0.009563357</v>
      </c>
      <c r="K91" s="20">
        <f t="shared" si="3"/>
        <v>-0.004836643</v>
      </c>
      <c r="L91" s="20" t="s">
        <v>314</v>
      </c>
    </row>
    <row r="92" ht="41.25" customHeight="1" spans="1:12">
      <c r="A92" s="14" t="s">
        <v>462</v>
      </c>
      <c r="B92" s="15" t="s">
        <v>463</v>
      </c>
      <c r="C92" s="14">
        <v>1729</v>
      </c>
      <c r="D92" s="14">
        <v>33</v>
      </c>
      <c r="E92" s="16">
        <v>0.0192</v>
      </c>
      <c r="F92" s="17" t="s">
        <v>462</v>
      </c>
      <c r="G92" s="18" t="s">
        <v>463</v>
      </c>
      <c r="H92" s="17">
        <v>2054</v>
      </c>
      <c r="I92" s="17">
        <v>37</v>
      </c>
      <c r="J92" s="19">
        <v>0.018355002</v>
      </c>
      <c r="K92" s="20">
        <f t="shared" si="3"/>
        <v>-0.000844998</v>
      </c>
      <c r="L92" s="20"/>
    </row>
    <row r="93" ht="27.75" customHeight="1" spans="1:12">
      <c r="A93" s="14" t="s">
        <v>464</v>
      </c>
      <c r="B93" s="15" t="s">
        <v>465</v>
      </c>
      <c r="C93" s="14">
        <v>1707</v>
      </c>
      <c r="D93" s="14">
        <v>23</v>
      </c>
      <c r="E93" s="16">
        <v>0.0137</v>
      </c>
      <c r="F93" s="17" t="s">
        <v>464</v>
      </c>
      <c r="G93" s="18" t="s">
        <v>465</v>
      </c>
      <c r="H93" s="17">
        <v>2116</v>
      </c>
      <c r="I93" s="17">
        <v>29</v>
      </c>
      <c r="J93" s="19">
        <v>0.013907642</v>
      </c>
      <c r="K93" s="20">
        <f t="shared" si="3"/>
        <v>0.000207641999999999</v>
      </c>
      <c r="L93" s="20"/>
    </row>
    <row r="94" ht="27.75" customHeight="1" spans="1:12">
      <c r="A94" s="14" t="s">
        <v>466</v>
      </c>
      <c r="B94" s="15" t="s">
        <v>467</v>
      </c>
      <c r="C94" s="14">
        <v>1751</v>
      </c>
      <c r="D94" s="14">
        <v>19</v>
      </c>
      <c r="E94" s="16">
        <v>0.0113</v>
      </c>
      <c r="F94" s="17" t="s">
        <v>466</v>
      </c>
      <c r="G94" s="18" t="s">
        <v>467</v>
      </c>
      <c r="H94" s="17">
        <v>2140</v>
      </c>
      <c r="I94" s="17">
        <v>27</v>
      </c>
      <c r="J94" s="19">
        <v>0.012748632</v>
      </c>
      <c r="K94" s="20">
        <f t="shared" si="3"/>
        <v>0.001448632</v>
      </c>
      <c r="L94" s="20"/>
    </row>
    <row r="95" ht="41.25" customHeight="1" spans="1:12">
      <c r="A95" s="14" t="s">
        <v>468</v>
      </c>
      <c r="B95" s="15" t="s">
        <v>469</v>
      </c>
      <c r="C95" s="14">
        <v>1705</v>
      </c>
      <c r="D95" s="14">
        <v>22</v>
      </c>
      <c r="E95" s="16">
        <v>0.0134</v>
      </c>
      <c r="F95" s="17" t="s">
        <v>468</v>
      </c>
      <c r="G95" s="18" t="s">
        <v>469</v>
      </c>
      <c r="H95" s="17">
        <v>2038</v>
      </c>
      <c r="I95" s="17">
        <v>32</v>
      </c>
      <c r="J95" s="19">
        <v>0.016119989</v>
      </c>
      <c r="K95" s="20">
        <f t="shared" si="3"/>
        <v>0.002719989</v>
      </c>
      <c r="L95" s="20"/>
    </row>
    <row r="96" ht="41.25" customHeight="1" spans="1:12">
      <c r="A96" s="14" t="s">
        <v>470</v>
      </c>
      <c r="B96" s="15" t="s">
        <v>471</v>
      </c>
      <c r="C96" s="14">
        <v>1670</v>
      </c>
      <c r="D96" s="14">
        <v>16</v>
      </c>
      <c r="E96" s="16">
        <v>0.0101</v>
      </c>
      <c r="F96" s="17" t="s">
        <v>470</v>
      </c>
      <c r="G96" s="18" t="s">
        <v>471</v>
      </c>
      <c r="H96" s="17">
        <v>1696</v>
      </c>
      <c r="I96" s="17">
        <v>20</v>
      </c>
      <c r="J96" s="19">
        <v>0.012211555</v>
      </c>
      <c r="K96" s="20">
        <f t="shared" si="3"/>
        <v>0.002111555</v>
      </c>
      <c r="L96" s="20"/>
    </row>
    <row r="97" ht="54.75" customHeight="1" spans="1:12">
      <c r="A97" s="14" t="s">
        <v>472</v>
      </c>
      <c r="B97" s="15" t="s">
        <v>473</v>
      </c>
      <c r="C97" s="14">
        <v>1676</v>
      </c>
      <c r="D97" s="14">
        <v>28</v>
      </c>
      <c r="E97" s="16">
        <v>0.0171</v>
      </c>
      <c r="F97" s="17" t="s">
        <v>472</v>
      </c>
      <c r="G97" s="18" t="s">
        <v>473</v>
      </c>
      <c r="H97" s="17">
        <v>1564</v>
      </c>
      <c r="I97" s="17">
        <v>26</v>
      </c>
      <c r="J97" s="19">
        <v>0.01716895</v>
      </c>
      <c r="K97" s="20">
        <f t="shared" si="3"/>
        <v>6.89499999999982e-5</v>
      </c>
      <c r="L97" s="20"/>
    </row>
    <row r="98" ht="41.25" customHeight="1" spans="1:12">
      <c r="A98" s="14" t="s">
        <v>474</v>
      </c>
      <c r="B98" s="15" t="s">
        <v>475</v>
      </c>
      <c r="C98" s="14">
        <v>515</v>
      </c>
      <c r="D98" s="14">
        <v>10</v>
      </c>
      <c r="E98" s="16">
        <v>0.0202</v>
      </c>
      <c r="F98" s="17" t="s">
        <v>474</v>
      </c>
      <c r="G98" s="18" t="s">
        <v>475</v>
      </c>
      <c r="H98" s="17">
        <v>316</v>
      </c>
      <c r="I98" s="17">
        <v>8</v>
      </c>
      <c r="J98" s="19">
        <v>0.027978339</v>
      </c>
      <c r="K98" s="20">
        <f t="shared" si="3"/>
        <v>0.007778339</v>
      </c>
      <c r="L98" s="20"/>
    </row>
    <row r="99" ht="41.25" customHeight="1" spans="1:12">
      <c r="A99" s="14" t="s">
        <v>476</v>
      </c>
      <c r="B99" s="15" t="s">
        <v>477</v>
      </c>
      <c r="C99" s="14">
        <v>705</v>
      </c>
      <c r="D99" s="14">
        <v>7</v>
      </c>
      <c r="E99" s="16">
        <v>0.0109</v>
      </c>
      <c r="F99" s="17" t="s">
        <v>476</v>
      </c>
      <c r="G99" s="21" t="s">
        <v>62</v>
      </c>
      <c r="H99" s="17">
        <v>696</v>
      </c>
      <c r="I99" s="17">
        <v>6</v>
      </c>
      <c r="J99" s="26">
        <v>0.008818704</v>
      </c>
      <c r="K99" s="20">
        <f t="shared" si="3"/>
        <v>-0.002081296</v>
      </c>
      <c r="L99" s="20" t="s">
        <v>314</v>
      </c>
    </row>
    <row r="100" ht="54.75" customHeight="1" spans="1:12">
      <c r="A100" s="14" t="s">
        <v>478</v>
      </c>
      <c r="B100" s="15" t="s">
        <v>479</v>
      </c>
      <c r="C100" s="14">
        <v>1660</v>
      </c>
      <c r="D100" s="14">
        <v>15</v>
      </c>
      <c r="E100" s="16">
        <v>0.009</v>
      </c>
      <c r="F100" s="17" t="s">
        <v>478</v>
      </c>
      <c r="G100" s="21" t="s">
        <v>63</v>
      </c>
      <c r="H100" s="17">
        <v>1651</v>
      </c>
      <c r="I100" s="17">
        <v>11</v>
      </c>
      <c r="J100" s="26">
        <v>0.00683391</v>
      </c>
      <c r="K100" s="20">
        <f t="shared" si="3"/>
        <v>-0.00216609</v>
      </c>
      <c r="L100" s="20" t="s">
        <v>314</v>
      </c>
    </row>
    <row r="101" ht="41.25" customHeight="1" spans="1:12">
      <c r="A101" s="14" t="s">
        <v>480</v>
      </c>
      <c r="B101" s="15" t="s">
        <v>481</v>
      </c>
      <c r="C101" s="14">
        <v>1605</v>
      </c>
      <c r="D101" s="14">
        <v>16</v>
      </c>
      <c r="E101" s="16">
        <v>0.0102</v>
      </c>
      <c r="F101" s="17" t="s">
        <v>480</v>
      </c>
      <c r="G101" s="18" t="s">
        <v>481</v>
      </c>
      <c r="H101" s="17">
        <v>1649</v>
      </c>
      <c r="I101" s="17">
        <v>17</v>
      </c>
      <c r="J101" s="19">
        <v>0.0105646</v>
      </c>
      <c r="K101" s="20">
        <f t="shared" si="3"/>
        <v>0.0003646</v>
      </c>
      <c r="L101" s="20"/>
    </row>
    <row r="102" ht="41.25" customHeight="1" spans="1:12">
      <c r="A102" s="14" t="s">
        <v>482</v>
      </c>
      <c r="B102" s="15" t="s">
        <v>483</v>
      </c>
      <c r="C102" s="14">
        <v>1635</v>
      </c>
      <c r="D102" s="14">
        <v>22</v>
      </c>
      <c r="E102" s="16">
        <v>0.0139</v>
      </c>
      <c r="F102" s="17" t="s">
        <v>482</v>
      </c>
      <c r="G102" s="18" t="s">
        <v>483</v>
      </c>
      <c r="H102" s="17">
        <v>1698</v>
      </c>
      <c r="I102" s="17">
        <v>23</v>
      </c>
      <c r="J102" s="19">
        <v>0.013706694</v>
      </c>
      <c r="K102" s="20">
        <f t="shared" si="3"/>
        <v>-0.000193305999999999</v>
      </c>
      <c r="L102" s="20"/>
    </row>
    <row r="103" ht="41.25" customHeight="1" spans="1:12">
      <c r="A103" s="14" t="s">
        <v>484</v>
      </c>
      <c r="B103" s="15" t="s">
        <v>485</v>
      </c>
      <c r="C103" s="14">
        <v>1571</v>
      </c>
      <c r="D103" s="14">
        <v>32</v>
      </c>
      <c r="E103" s="16">
        <v>0.0204</v>
      </c>
      <c r="F103" s="17" t="s">
        <v>484</v>
      </c>
      <c r="G103" s="18" t="s">
        <v>485</v>
      </c>
      <c r="H103" s="17">
        <v>1623</v>
      </c>
      <c r="I103" s="17">
        <v>33</v>
      </c>
      <c r="J103" s="19">
        <v>0.020587718</v>
      </c>
      <c r="K103" s="20">
        <f t="shared" si="3"/>
        <v>0.000187718</v>
      </c>
      <c r="L103" s="20"/>
    </row>
    <row r="104" ht="54.75" customHeight="1" spans="1:12">
      <c r="A104" s="14" t="s">
        <v>486</v>
      </c>
      <c r="B104" s="15" t="s">
        <v>487</v>
      </c>
      <c r="C104" s="14">
        <v>1420</v>
      </c>
      <c r="D104" s="14">
        <v>11</v>
      </c>
      <c r="E104" s="16">
        <v>0.0078</v>
      </c>
      <c r="F104" s="17" t="s">
        <v>486</v>
      </c>
      <c r="G104" s="21" t="s">
        <v>65</v>
      </c>
      <c r="H104" s="17">
        <v>1659</v>
      </c>
      <c r="I104" s="17">
        <v>7</v>
      </c>
      <c r="J104" s="26">
        <v>0.004477355</v>
      </c>
      <c r="K104" s="20">
        <f t="shared" si="3"/>
        <v>-0.003322645</v>
      </c>
      <c r="L104" s="20" t="s">
        <v>314</v>
      </c>
    </row>
    <row r="105" ht="54.75" customHeight="1" spans="1:12">
      <c r="A105" s="14" t="s">
        <v>488</v>
      </c>
      <c r="B105" s="15" t="s">
        <v>489</v>
      </c>
      <c r="C105" s="14">
        <v>890</v>
      </c>
      <c r="D105" s="14">
        <v>13</v>
      </c>
      <c r="E105" s="16">
        <v>0.0146</v>
      </c>
      <c r="F105" s="17" t="s">
        <v>488</v>
      </c>
      <c r="G105" s="21" t="s">
        <v>66</v>
      </c>
      <c r="H105" s="17">
        <v>1505</v>
      </c>
      <c r="I105" s="17">
        <v>15</v>
      </c>
      <c r="J105" s="19">
        <v>0.009964886</v>
      </c>
      <c r="K105" s="20">
        <f t="shared" si="3"/>
        <v>-0.004635114</v>
      </c>
      <c r="L105" s="20"/>
    </row>
    <row r="106" ht="68.25" customHeight="1" spans="1:12">
      <c r="A106" s="14" t="s">
        <v>490</v>
      </c>
      <c r="B106" s="15" t="s">
        <v>491</v>
      </c>
      <c r="C106" s="14">
        <v>1409</v>
      </c>
      <c r="D106" s="14">
        <v>11</v>
      </c>
      <c r="E106" s="16">
        <v>0.0078</v>
      </c>
      <c r="F106" s="17" t="s">
        <v>490</v>
      </c>
      <c r="G106" s="21" t="s">
        <v>67</v>
      </c>
      <c r="H106" s="17">
        <v>1593</v>
      </c>
      <c r="I106" s="17">
        <v>10</v>
      </c>
      <c r="J106" s="26">
        <v>0.006545324</v>
      </c>
      <c r="K106" s="20">
        <f t="shared" si="3"/>
        <v>-0.001254676</v>
      </c>
      <c r="L106" s="20" t="s">
        <v>314</v>
      </c>
    </row>
    <row r="107" ht="68.25" customHeight="1" spans="1:12">
      <c r="A107" s="14" t="s">
        <v>492</v>
      </c>
      <c r="B107" s="15" t="s">
        <v>493</v>
      </c>
      <c r="C107" s="14">
        <v>1504</v>
      </c>
      <c r="D107" s="14">
        <v>8</v>
      </c>
      <c r="E107" s="16">
        <v>0.0057</v>
      </c>
      <c r="F107" s="17" t="s">
        <v>492</v>
      </c>
      <c r="G107" s="21" t="s">
        <v>68</v>
      </c>
      <c r="H107" s="17">
        <v>1649</v>
      </c>
      <c r="I107" s="17">
        <v>12</v>
      </c>
      <c r="J107" s="26">
        <v>0.007362495</v>
      </c>
      <c r="K107" s="20">
        <f t="shared" si="3"/>
        <v>0.001662495</v>
      </c>
      <c r="L107" s="20" t="s">
        <v>314</v>
      </c>
    </row>
    <row r="108" ht="54.75" customHeight="1" spans="1:12">
      <c r="A108" s="14" t="s">
        <v>494</v>
      </c>
      <c r="B108" s="15" t="s">
        <v>495</v>
      </c>
      <c r="C108" s="14">
        <v>648</v>
      </c>
      <c r="D108" s="14">
        <v>4</v>
      </c>
      <c r="E108" s="16">
        <v>0.0075</v>
      </c>
      <c r="F108" s="17" t="s">
        <v>494</v>
      </c>
      <c r="G108" s="21" t="s">
        <v>69</v>
      </c>
      <c r="H108" s="17">
        <v>660</v>
      </c>
      <c r="I108" s="17">
        <v>4</v>
      </c>
      <c r="J108" s="26">
        <v>0.007357715</v>
      </c>
      <c r="K108" s="20">
        <f t="shared" si="3"/>
        <v>-0.000142285</v>
      </c>
      <c r="L108" s="20" t="s">
        <v>314</v>
      </c>
    </row>
    <row r="109" ht="68.25" customHeight="1" spans="1:12">
      <c r="A109" s="14" t="s">
        <v>496</v>
      </c>
      <c r="B109" s="15" t="s">
        <v>497</v>
      </c>
      <c r="C109" s="14">
        <v>1596</v>
      </c>
      <c r="D109" s="14">
        <v>23</v>
      </c>
      <c r="E109" s="16">
        <v>0.0147</v>
      </c>
      <c r="F109" s="17" t="s">
        <v>496</v>
      </c>
      <c r="G109" s="21" t="s">
        <v>70</v>
      </c>
      <c r="H109" s="17">
        <v>1562</v>
      </c>
      <c r="I109" s="17">
        <v>11</v>
      </c>
      <c r="J109" s="26">
        <v>0.007133059</v>
      </c>
      <c r="K109" s="27">
        <f t="shared" si="3"/>
        <v>-0.007566941</v>
      </c>
      <c r="L109" s="24" t="s">
        <v>333</v>
      </c>
    </row>
    <row r="110" ht="41.25" customHeight="1" spans="1:12">
      <c r="A110" s="14" t="s">
        <v>498</v>
      </c>
      <c r="B110" s="15" t="s">
        <v>499</v>
      </c>
      <c r="C110" s="14">
        <v>1536</v>
      </c>
      <c r="D110" s="14">
        <v>17</v>
      </c>
      <c r="E110" s="16">
        <v>0.0113</v>
      </c>
      <c r="F110" s="17" t="s">
        <v>498</v>
      </c>
      <c r="G110" s="18" t="s">
        <v>499</v>
      </c>
      <c r="H110" s="17">
        <v>1614</v>
      </c>
      <c r="I110" s="17">
        <v>20</v>
      </c>
      <c r="J110" s="19">
        <v>0.012475668</v>
      </c>
      <c r="K110" s="20">
        <f t="shared" si="3"/>
        <v>0.001175668</v>
      </c>
      <c r="L110" s="20"/>
    </row>
    <row r="111" ht="41.25" customHeight="1" spans="1:12">
      <c r="A111" s="14" t="s">
        <v>500</v>
      </c>
      <c r="B111" s="15" t="s">
        <v>501</v>
      </c>
      <c r="C111" s="14">
        <v>1680</v>
      </c>
      <c r="D111" s="14">
        <v>25</v>
      </c>
      <c r="E111" s="16">
        <v>0.0154</v>
      </c>
      <c r="F111" s="17" t="s">
        <v>500</v>
      </c>
      <c r="G111" s="18" t="s">
        <v>501</v>
      </c>
      <c r="H111" s="17">
        <v>1722</v>
      </c>
      <c r="I111" s="17">
        <v>26</v>
      </c>
      <c r="J111" s="19">
        <v>0.015428003</v>
      </c>
      <c r="K111" s="20">
        <f t="shared" si="3"/>
        <v>2.80029999999987e-5</v>
      </c>
      <c r="L111" s="20"/>
    </row>
    <row r="112" ht="41.25" customHeight="1" spans="1:12">
      <c r="A112" s="14" t="s">
        <v>502</v>
      </c>
      <c r="B112" s="15" t="s">
        <v>503</v>
      </c>
      <c r="C112" s="14">
        <v>662</v>
      </c>
      <c r="D112" s="14">
        <v>5</v>
      </c>
      <c r="E112" s="16">
        <v>0.0084</v>
      </c>
      <c r="F112" s="17" t="s">
        <v>502</v>
      </c>
      <c r="G112" s="21" t="s">
        <v>77</v>
      </c>
      <c r="H112" s="17">
        <v>731</v>
      </c>
      <c r="I112" s="17">
        <v>7</v>
      </c>
      <c r="J112" s="26">
        <v>0.009572182</v>
      </c>
      <c r="K112" s="20">
        <f t="shared" si="3"/>
        <v>0.001172182</v>
      </c>
      <c r="L112" s="20" t="s">
        <v>314</v>
      </c>
    </row>
    <row r="113" ht="41.25" customHeight="1" spans="1:12">
      <c r="A113" s="14" t="s">
        <v>504</v>
      </c>
      <c r="B113" s="15" t="s">
        <v>505</v>
      </c>
      <c r="C113" s="14">
        <v>780</v>
      </c>
      <c r="D113" s="14">
        <v>8</v>
      </c>
      <c r="E113" s="16">
        <v>0.0108</v>
      </c>
      <c r="F113" s="17" t="s">
        <v>504</v>
      </c>
      <c r="G113" s="18" t="s">
        <v>505</v>
      </c>
      <c r="H113" s="17">
        <v>908</v>
      </c>
      <c r="I113" s="17">
        <v>11</v>
      </c>
      <c r="J113" s="19">
        <v>0.012264151</v>
      </c>
      <c r="K113" s="20">
        <f t="shared" si="3"/>
        <v>0.001464151</v>
      </c>
      <c r="L113" s="20"/>
    </row>
    <row r="114" ht="41.25" customHeight="1" spans="1:12">
      <c r="A114" s="14" t="s">
        <v>506</v>
      </c>
      <c r="B114" s="15" t="s">
        <v>507</v>
      </c>
      <c r="C114" s="14">
        <v>1503</v>
      </c>
      <c r="D114" s="14">
        <v>18</v>
      </c>
      <c r="E114" s="16">
        <v>0.0122</v>
      </c>
      <c r="F114" s="17" t="s">
        <v>506</v>
      </c>
      <c r="G114" s="18" t="s">
        <v>507</v>
      </c>
      <c r="H114" s="17">
        <v>1606</v>
      </c>
      <c r="I114" s="17">
        <v>23</v>
      </c>
      <c r="J114" s="19">
        <v>0.014408966</v>
      </c>
      <c r="K114" s="20">
        <f t="shared" si="3"/>
        <v>0.002208966</v>
      </c>
      <c r="L114" s="20"/>
    </row>
    <row r="115" ht="54.75" customHeight="1" spans="1:12">
      <c r="A115" s="14" t="s">
        <v>508</v>
      </c>
      <c r="B115" s="15" t="s">
        <v>509</v>
      </c>
      <c r="C115" s="14">
        <v>1499</v>
      </c>
      <c r="D115" s="14">
        <v>22</v>
      </c>
      <c r="E115" s="16">
        <v>0.0152</v>
      </c>
      <c r="F115" s="17" t="s">
        <v>508</v>
      </c>
      <c r="G115" s="18" t="s">
        <v>509</v>
      </c>
      <c r="H115" s="17">
        <v>1673</v>
      </c>
      <c r="I115" s="17">
        <v>29</v>
      </c>
      <c r="J115" s="19">
        <v>0.01733265</v>
      </c>
      <c r="K115" s="20">
        <f t="shared" si="3"/>
        <v>0.00213265</v>
      </c>
      <c r="L115" s="20"/>
    </row>
    <row r="116" ht="54.75" customHeight="1" spans="1:12">
      <c r="A116" s="14" t="s">
        <v>510</v>
      </c>
      <c r="B116" s="15" t="s">
        <v>511</v>
      </c>
      <c r="C116" s="14">
        <v>1023</v>
      </c>
      <c r="D116" s="14">
        <v>14</v>
      </c>
      <c r="E116" s="16">
        <v>0.014</v>
      </c>
      <c r="F116" s="17" t="s">
        <v>510</v>
      </c>
      <c r="G116" s="18" t="s">
        <v>511</v>
      </c>
      <c r="H116" s="17">
        <v>1850</v>
      </c>
      <c r="I116" s="17">
        <v>25</v>
      </c>
      <c r="J116" s="19">
        <v>0.013509341</v>
      </c>
      <c r="K116" s="20">
        <f t="shared" si="3"/>
        <v>-0.000490659000000001</v>
      </c>
      <c r="L116" s="20"/>
    </row>
    <row r="117" ht="41.25" customHeight="1" spans="1:12">
      <c r="A117" s="14" t="s">
        <v>512</v>
      </c>
      <c r="B117" s="15" t="s">
        <v>513</v>
      </c>
      <c r="C117" s="14">
        <v>1277</v>
      </c>
      <c r="D117" s="14">
        <v>18</v>
      </c>
      <c r="E117" s="16">
        <v>0.0141</v>
      </c>
      <c r="F117" s="17" t="s">
        <v>512</v>
      </c>
      <c r="G117" s="18" t="s">
        <v>513</v>
      </c>
      <c r="H117" s="17">
        <v>1637</v>
      </c>
      <c r="I117" s="17">
        <v>25</v>
      </c>
      <c r="J117" s="19">
        <v>0.015533642</v>
      </c>
      <c r="K117" s="20">
        <f t="shared" si="3"/>
        <v>0.001433642</v>
      </c>
      <c r="L117" s="20"/>
    </row>
    <row r="118" ht="54.75" customHeight="1" spans="1:12">
      <c r="A118" s="14" t="s">
        <v>514</v>
      </c>
      <c r="B118" s="15" t="s">
        <v>515</v>
      </c>
      <c r="C118" s="14">
        <v>1149</v>
      </c>
      <c r="D118" s="14">
        <v>9</v>
      </c>
      <c r="E118" s="16">
        <v>0.0085</v>
      </c>
      <c r="F118" s="17" t="s">
        <v>514</v>
      </c>
      <c r="G118" s="21" t="s">
        <v>85</v>
      </c>
      <c r="H118" s="17">
        <v>1936</v>
      </c>
      <c r="I118" s="17">
        <v>22</v>
      </c>
      <c r="J118" s="19">
        <v>0.011506122</v>
      </c>
      <c r="K118" s="20">
        <f t="shared" si="3"/>
        <v>0.003006122</v>
      </c>
      <c r="L118" s="20"/>
    </row>
    <row r="119" ht="41.25" customHeight="1" spans="1:12">
      <c r="A119" s="14" t="s">
        <v>516</v>
      </c>
      <c r="B119" s="15" t="s">
        <v>517</v>
      </c>
      <c r="C119" s="14">
        <v>1549</v>
      </c>
      <c r="D119" s="14">
        <v>27</v>
      </c>
      <c r="E119" s="16">
        <v>0.0176</v>
      </c>
      <c r="F119" s="17" t="s">
        <v>516</v>
      </c>
      <c r="G119" s="18" t="s">
        <v>517</v>
      </c>
      <c r="H119" s="17">
        <v>2422</v>
      </c>
      <c r="I119" s="17">
        <v>42</v>
      </c>
      <c r="J119" s="19">
        <v>0.017335928</v>
      </c>
      <c r="K119" s="20">
        <f t="shared" si="3"/>
        <v>-0.000264072000000001</v>
      </c>
      <c r="L119" s="20"/>
    </row>
    <row r="120" ht="68.25" customHeight="1" spans="1:12">
      <c r="A120" s="14" t="s">
        <v>518</v>
      </c>
      <c r="B120" s="15" t="s">
        <v>519</v>
      </c>
      <c r="C120" s="14">
        <v>1537</v>
      </c>
      <c r="D120" s="14">
        <v>11</v>
      </c>
      <c r="E120" s="16">
        <v>0.0076</v>
      </c>
      <c r="F120" s="17" t="s">
        <v>518</v>
      </c>
      <c r="G120" s="21" t="s">
        <v>86</v>
      </c>
      <c r="H120" s="17">
        <v>2383</v>
      </c>
      <c r="I120" s="17">
        <v>15</v>
      </c>
      <c r="J120" s="26">
        <v>0.006474432</v>
      </c>
      <c r="K120" s="20">
        <f t="shared" si="3"/>
        <v>-0.001125568</v>
      </c>
      <c r="L120" s="20" t="s">
        <v>314</v>
      </c>
    </row>
    <row r="121" ht="41.25" customHeight="1" spans="1:12">
      <c r="A121" s="14" t="s">
        <v>520</v>
      </c>
      <c r="B121" s="15" t="s">
        <v>521</v>
      </c>
      <c r="C121" s="14">
        <v>1505</v>
      </c>
      <c r="D121" s="14">
        <v>16</v>
      </c>
      <c r="E121" s="16">
        <v>0.0106</v>
      </c>
      <c r="F121" s="17" t="s">
        <v>520</v>
      </c>
      <c r="G121" s="18" t="s">
        <v>521</v>
      </c>
      <c r="H121" s="17">
        <v>2422</v>
      </c>
      <c r="I121" s="17">
        <v>30</v>
      </c>
      <c r="J121" s="19">
        <v>0.012737351</v>
      </c>
      <c r="K121" s="20">
        <f t="shared" si="3"/>
        <v>0.002137351</v>
      </c>
      <c r="L121" s="20"/>
    </row>
    <row r="122" ht="41.25" customHeight="1" spans="1:12">
      <c r="A122" s="14" t="s">
        <v>522</v>
      </c>
      <c r="B122" s="15" t="s">
        <v>523</v>
      </c>
      <c r="C122" s="14">
        <v>603</v>
      </c>
      <c r="D122" s="14">
        <v>10</v>
      </c>
      <c r="E122" s="16">
        <v>0.018</v>
      </c>
      <c r="F122" s="17" t="s">
        <v>522</v>
      </c>
      <c r="G122" s="18" t="s">
        <v>523</v>
      </c>
      <c r="H122" s="17">
        <v>1884</v>
      </c>
      <c r="I122" s="17">
        <v>21</v>
      </c>
      <c r="J122" s="19">
        <v>0.011369666</v>
      </c>
      <c r="K122" s="25">
        <f t="shared" si="3"/>
        <v>-0.006630334</v>
      </c>
      <c r="L122" s="28"/>
    </row>
    <row r="123" ht="41.25" customHeight="1" spans="1:12">
      <c r="A123" s="14" t="s">
        <v>524</v>
      </c>
      <c r="B123" s="15" t="s">
        <v>525</v>
      </c>
      <c r="C123" s="14">
        <v>1491</v>
      </c>
      <c r="D123" s="14">
        <v>19</v>
      </c>
      <c r="E123" s="16">
        <v>0.0127</v>
      </c>
      <c r="F123" s="17" t="s">
        <v>524</v>
      </c>
      <c r="G123" s="18" t="s">
        <v>525</v>
      </c>
      <c r="H123" s="17">
        <v>1555</v>
      </c>
      <c r="I123" s="17">
        <v>20</v>
      </c>
      <c r="J123" s="19">
        <v>0.013314968</v>
      </c>
      <c r="K123" s="20">
        <f t="shared" si="3"/>
        <v>0.000614968</v>
      </c>
      <c r="L123" s="20"/>
    </row>
    <row r="124" ht="54.75" customHeight="1" spans="1:12">
      <c r="A124" s="14" t="s">
        <v>526</v>
      </c>
      <c r="B124" s="15" t="s">
        <v>527</v>
      </c>
      <c r="C124" s="14">
        <v>1397</v>
      </c>
      <c r="D124" s="14">
        <v>11</v>
      </c>
      <c r="E124" s="16">
        <v>0.0084</v>
      </c>
      <c r="F124" s="17" t="s">
        <v>526</v>
      </c>
      <c r="G124" s="21" t="s">
        <v>73</v>
      </c>
      <c r="H124" s="17">
        <v>1592</v>
      </c>
      <c r="I124" s="17">
        <v>14</v>
      </c>
      <c r="J124" s="26">
        <v>0.008972633</v>
      </c>
      <c r="K124" s="20">
        <f t="shared" si="3"/>
        <v>0.000572633000000001</v>
      </c>
      <c r="L124" s="20" t="s">
        <v>314</v>
      </c>
    </row>
    <row r="125" ht="41.25" customHeight="1" spans="1:12">
      <c r="A125" s="14" t="s">
        <v>528</v>
      </c>
      <c r="B125" s="15" t="s">
        <v>529</v>
      </c>
      <c r="C125" s="14">
        <v>1481</v>
      </c>
      <c r="D125" s="14">
        <v>10</v>
      </c>
      <c r="E125" s="16">
        <v>0.0072</v>
      </c>
      <c r="F125" s="17" t="s">
        <v>528</v>
      </c>
      <c r="G125" s="21" t="s">
        <v>74</v>
      </c>
      <c r="H125" s="17">
        <v>1684</v>
      </c>
      <c r="I125" s="17">
        <v>16</v>
      </c>
      <c r="J125" s="26">
        <v>0.009837178</v>
      </c>
      <c r="K125" s="20">
        <f t="shared" si="3"/>
        <v>0.002637178</v>
      </c>
      <c r="L125" s="20" t="s">
        <v>314</v>
      </c>
    </row>
    <row r="126" ht="54.75" customHeight="1" spans="1:12">
      <c r="A126" s="14" t="s">
        <v>530</v>
      </c>
      <c r="B126" s="15" t="s">
        <v>531</v>
      </c>
      <c r="C126" s="14">
        <v>1541</v>
      </c>
      <c r="D126" s="14">
        <v>22</v>
      </c>
      <c r="E126" s="16">
        <v>0.0148</v>
      </c>
      <c r="F126" s="17" t="s">
        <v>530</v>
      </c>
      <c r="G126" s="18" t="s">
        <v>531</v>
      </c>
      <c r="H126" s="17">
        <v>1687</v>
      </c>
      <c r="I126" s="17">
        <v>22</v>
      </c>
      <c r="J126" s="19">
        <v>0.01337736</v>
      </c>
      <c r="K126" s="20">
        <f t="shared" si="3"/>
        <v>-0.00142264</v>
      </c>
      <c r="L126" s="20"/>
    </row>
    <row r="127" ht="41.25" customHeight="1" spans="1:12">
      <c r="A127" s="14" t="s">
        <v>532</v>
      </c>
      <c r="B127" s="15" t="s">
        <v>533</v>
      </c>
      <c r="C127" s="14">
        <v>122</v>
      </c>
      <c r="D127" s="14">
        <v>2</v>
      </c>
      <c r="E127" s="16">
        <v>0.0186</v>
      </c>
      <c r="F127" s="17" t="s">
        <v>532</v>
      </c>
      <c r="G127" s="18" t="s">
        <v>533</v>
      </c>
      <c r="H127" s="17">
        <v>141</v>
      </c>
      <c r="I127" s="17">
        <v>1</v>
      </c>
      <c r="J127" s="19">
        <v>0.010111223</v>
      </c>
      <c r="K127" s="25">
        <f t="shared" si="3"/>
        <v>-0.008488777</v>
      </c>
      <c r="L127" s="28"/>
    </row>
    <row r="128" ht="54.75" customHeight="1" spans="1:12">
      <c r="A128" s="14" t="s">
        <v>534</v>
      </c>
      <c r="B128" s="15" t="s">
        <v>535</v>
      </c>
      <c r="C128" s="14">
        <v>1231</v>
      </c>
      <c r="D128" s="14">
        <v>11</v>
      </c>
      <c r="E128" s="16">
        <v>0.0095</v>
      </c>
      <c r="F128" s="17" t="s">
        <v>534</v>
      </c>
      <c r="G128" s="21" t="s">
        <v>75</v>
      </c>
      <c r="H128" s="17">
        <v>1348</v>
      </c>
      <c r="I128" s="17">
        <v>18</v>
      </c>
      <c r="J128" s="19">
        <v>0.013671047</v>
      </c>
      <c r="K128" s="20">
        <f t="shared" si="3"/>
        <v>0.004171047</v>
      </c>
      <c r="L128" s="20"/>
    </row>
    <row r="129" ht="54.75" customHeight="1" spans="1:12">
      <c r="A129" s="14" t="s">
        <v>536</v>
      </c>
      <c r="B129" s="15" t="s">
        <v>537</v>
      </c>
      <c r="C129" s="14">
        <v>1484</v>
      </c>
      <c r="D129" s="14">
        <v>16</v>
      </c>
      <c r="E129" s="16">
        <v>0.0111</v>
      </c>
      <c r="F129" s="17" t="s">
        <v>536</v>
      </c>
      <c r="G129" s="18" t="s">
        <v>537</v>
      </c>
      <c r="H129" s="17">
        <v>1634</v>
      </c>
      <c r="I129" s="17">
        <v>14</v>
      </c>
      <c r="J129" s="26">
        <v>0.00900035</v>
      </c>
      <c r="K129" s="20">
        <f t="shared" si="3"/>
        <v>-0.00209965</v>
      </c>
      <c r="L129" s="20" t="s">
        <v>314</v>
      </c>
    </row>
    <row r="130" ht="68.25" customHeight="1" spans="1:12">
      <c r="A130" s="14" t="s">
        <v>538</v>
      </c>
      <c r="B130" s="15" t="s">
        <v>539</v>
      </c>
      <c r="C130" s="14">
        <v>619</v>
      </c>
      <c r="D130" s="14">
        <v>15</v>
      </c>
      <c r="E130" s="16">
        <v>0.0251</v>
      </c>
      <c r="F130" s="17" t="s">
        <v>538</v>
      </c>
      <c r="G130" s="21" t="s">
        <v>76</v>
      </c>
      <c r="H130" s="17">
        <v>1624</v>
      </c>
      <c r="I130" s="17">
        <v>13</v>
      </c>
      <c r="J130" s="26">
        <v>0.008091469</v>
      </c>
      <c r="K130" s="27">
        <f t="shared" si="3"/>
        <v>-0.017008531</v>
      </c>
      <c r="L130" s="24" t="s">
        <v>333</v>
      </c>
    </row>
    <row r="131" ht="27.75" customHeight="1" spans="1:12">
      <c r="A131" s="14" t="s">
        <v>540</v>
      </c>
      <c r="B131" s="15" t="s">
        <v>541</v>
      </c>
      <c r="C131" s="14">
        <v>1451</v>
      </c>
      <c r="D131" s="14">
        <v>20</v>
      </c>
      <c r="E131" s="16">
        <v>0.0142</v>
      </c>
      <c r="F131" s="17" t="s">
        <v>540</v>
      </c>
      <c r="G131" s="18" t="s">
        <v>541</v>
      </c>
      <c r="H131" s="17">
        <v>1542</v>
      </c>
      <c r="I131" s="17">
        <v>16</v>
      </c>
      <c r="J131" s="19">
        <v>0.010838351</v>
      </c>
      <c r="K131" s="20">
        <f t="shared" si="3"/>
        <v>-0.003361649</v>
      </c>
      <c r="L131" s="20"/>
    </row>
    <row r="132" ht="41.25" customHeight="1" spans="1:12">
      <c r="A132" s="14" t="s">
        <v>542</v>
      </c>
      <c r="B132" s="15" t="s">
        <v>543</v>
      </c>
      <c r="C132" s="14">
        <v>1379</v>
      </c>
      <c r="D132" s="14">
        <v>14</v>
      </c>
      <c r="E132" s="16">
        <v>0.0107</v>
      </c>
      <c r="F132" s="17" t="s">
        <v>542</v>
      </c>
      <c r="G132" s="18" t="s">
        <v>543</v>
      </c>
      <c r="H132" s="17">
        <v>1464</v>
      </c>
      <c r="I132" s="17">
        <v>14</v>
      </c>
      <c r="J132" s="19">
        <v>0.00995122</v>
      </c>
      <c r="K132" s="20">
        <f t="shared" si="3"/>
        <v>-0.000748779999999999</v>
      </c>
      <c r="L132" s="20"/>
    </row>
    <row r="133" ht="54.75" customHeight="1" spans="1:12">
      <c r="A133" s="14" t="s">
        <v>544</v>
      </c>
      <c r="B133" s="15" t="s">
        <v>545</v>
      </c>
      <c r="C133" s="14">
        <v>1276</v>
      </c>
      <c r="D133" s="14">
        <v>12</v>
      </c>
      <c r="E133" s="16">
        <v>0.0097</v>
      </c>
      <c r="F133" s="17" t="s">
        <v>544</v>
      </c>
      <c r="G133" s="21" t="s">
        <v>78</v>
      </c>
      <c r="H133" s="17">
        <v>1338</v>
      </c>
      <c r="I133" s="17">
        <v>18</v>
      </c>
      <c r="J133" s="19">
        <v>0.013447172</v>
      </c>
      <c r="K133" s="20">
        <f t="shared" si="3"/>
        <v>0.003747172</v>
      </c>
      <c r="L133" s="20"/>
    </row>
    <row r="134" ht="54.75" customHeight="1" spans="1:12">
      <c r="A134" s="14" t="s">
        <v>546</v>
      </c>
      <c r="B134" s="15" t="s">
        <v>547</v>
      </c>
      <c r="C134" s="14">
        <v>1506</v>
      </c>
      <c r="D134" s="14">
        <v>14</v>
      </c>
      <c r="E134" s="16">
        <v>0.0096</v>
      </c>
      <c r="F134" s="17" t="s">
        <v>546</v>
      </c>
      <c r="G134" s="21" t="s">
        <v>79</v>
      </c>
      <c r="H134" s="17">
        <v>1637</v>
      </c>
      <c r="I134" s="17">
        <v>10</v>
      </c>
      <c r="J134" s="26">
        <v>0.006106604</v>
      </c>
      <c r="K134" s="20">
        <f t="shared" si="3"/>
        <v>-0.003493396</v>
      </c>
      <c r="L134" s="20" t="s">
        <v>314</v>
      </c>
    </row>
    <row r="135" ht="68.25" customHeight="1" spans="1:12">
      <c r="A135" s="14" t="s">
        <v>548</v>
      </c>
      <c r="B135" s="15" t="s">
        <v>549</v>
      </c>
      <c r="C135" s="14">
        <v>1206</v>
      </c>
      <c r="D135" s="14">
        <v>7</v>
      </c>
      <c r="E135" s="16">
        <v>0.0059</v>
      </c>
      <c r="F135" s="17" t="s">
        <v>548</v>
      </c>
      <c r="G135" s="21" t="s">
        <v>80</v>
      </c>
      <c r="H135" s="17">
        <v>1183</v>
      </c>
      <c r="I135" s="17">
        <v>9</v>
      </c>
      <c r="J135" s="26">
        <v>0.00760594</v>
      </c>
      <c r="K135" s="20">
        <f t="shared" si="3"/>
        <v>0.00170594</v>
      </c>
      <c r="L135" s="20" t="s">
        <v>314</v>
      </c>
    </row>
    <row r="136" ht="54.75" customHeight="1" spans="1:12">
      <c r="A136" s="14" t="s">
        <v>550</v>
      </c>
      <c r="B136" s="15" t="s">
        <v>551</v>
      </c>
      <c r="C136" s="14">
        <v>1599</v>
      </c>
      <c r="D136" s="14">
        <v>12</v>
      </c>
      <c r="E136" s="16">
        <v>0.008</v>
      </c>
      <c r="F136" s="17" t="s">
        <v>550</v>
      </c>
      <c r="G136" s="21" t="s">
        <v>81</v>
      </c>
      <c r="H136" s="17">
        <v>1585</v>
      </c>
      <c r="I136" s="17">
        <v>14</v>
      </c>
      <c r="J136" s="26">
        <v>0.009192502</v>
      </c>
      <c r="K136" s="20">
        <f t="shared" si="3"/>
        <v>0.001192502</v>
      </c>
      <c r="L136" s="20" t="s">
        <v>314</v>
      </c>
    </row>
    <row r="137" ht="54.75" customHeight="1" spans="1:12">
      <c r="A137" s="14" t="s">
        <v>552</v>
      </c>
      <c r="B137" s="15" t="s">
        <v>553</v>
      </c>
      <c r="C137" s="14">
        <v>1333</v>
      </c>
      <c r="D137" s="14">
        <v>8</v>
      </c>
      <c r="E137" s="16">
        <v>0.006</v>
      </c>
      <c r="F137" s="17" t="s">
        <v>552</v>
      </c>
      <c r="G137" s="21" t="s">
        <v>82</v>
      </c>
      <c r="H137" s="17">
        <v>1279</v>
      </c>
      <c r="I137" s="17">
        <v>9</v>
      </c>
      <c r="J137" s="26">
        <v>0.007593523</v>
      </c>
      <c r="K137" s="20">
        <f t="shared" si="3"/>
        <v>0.001593523</v>
      </c>
      <c r="L137" s="20" t="s">
        <v>314</v>
      </c>
    </row>
    <row r="138" ht="54.75" customHeight="1" spans="1:12">
      <c r="A138" s="14" t="s">
        <v>554</v>
      </c>
      <c r="B138" s="15" t="s">
        <v>555</v>
      </c>
      <c r="C138" s="14">
        <v>1664</v>
      </c>
      <c r="D138" s="14">
        <v>14</v>
      </c>
      <c r="E138" s="16">
        <v>0.0088</v>
      </c>
      <c r="F138" s="17" t="s">
        <v>554</v>
      </c>
      <c r="G138" s="21" t="s">
        <v>83</v>
      </c>
      <c r="H138" s="17"/>
      <c r="I138" s="17"/>
      <c r="J138" s="19"/>
      <c r="K138" s="20"/>
      <c r="L138" s="20"/>
    </row>
    <row r="139" ht="54.75" customHeight="1" spans="1:12">
      <c r="A139" s="14" t="s">
        <v>556</v>
      </c>
      <c r="B139" s="15" t="s">
        <v>557</v>
      </c>
      <c r="C139" s="14">
        <v>1255</v>
      </c>
      <c r="D139" s="14">
        <v>13</v>
      </c>
      <c r="E139" s="16">
        <v>0.0104</v>
      </c>
      <c r="F139" s="17" t="s">
        <v>556</v>
      </c>
      <c r="G139" s="21" t="s">
        <v>84</v>
      </c>
      <c r="H139" s="17"/>
      <c r="I139" s="17"/>
      <c r="J139" s="19"/>
      <c r="K139" s="20"/>
      <c r="L139" s="20"/>
    </row>
    <row r="140" ht="41.25" customHeight="1" spans="1:12">
      <c r="A140" s="14" t="s">
        <v>558</v>
      </c>
      <c r="B140" s="15" t="s">
        <v>559</v>
      </c>
      <c r="C140" s="14">
        <v>1561</v>
      </c>
      <c r="D140" s="14">
        <v>23</v>
      </c>
      <c r="E140" s="16">
        <v>0.0153</v>
      </c>
      <c r="F140" s="17" t="s">
        <v>558</v>
      </c>
      <c r="G140" s="18" t="s">
        <v>559</v>
      </c>
      <c r="H140" s="17">
        <v>1574</v>
      </c>
      <c r="I140" s="17">
        <v>29</v>
      </c>
      <c r="J140" s="19">
        <v>0.018599165</v>
      </c>
      <c r="K140" s="20">
        <f t="shared" ref="K140:K165" si="4">J140-E140</f>
        <v>0.003299165</v>
      </c>
      <c r="L140" s="20"/>
    </row>
    <row r="141" ht="54.75" customHeight="1" spans="1:12">
      <c r="A141" s="14" t="s">
        <v>560</v>
      </c>
      <c r="B141" s="15" t="s">
        <v>561</v>
      </c>
      <c r="C141" s="14">
        <v>1518</v>
      </c>
      <c r="D141" s="14">
        <v>25</v>
      </c>
      <c r="E141" s="16">
        <v>0.017</v>
      </c>
      <c r="F141" s="17" t="s">
        <v>560</v>
      </c>
      <c r="G141" s="21" t="s">
        <v>95</v>
      </c>
      <c r="H141" s="17">
        <v>1510</v>
      </c>
      <c r="I141" s="17">
        <v>13</v>
      </c>
      <c r="J141" s="26">
        <v>0.009079731</v>
      </c>
      <c r="K141" s="27">
        <f t="shared" si="4"/>
        <v>-0.007920269</v>
      </c>
      <c r="L141" s="24" t="s">
        <v>333</v>
      </c>
    </row>
    <row r="142" ht="41.25" customHeight="1" spans="1:12">
      <c r="A142" s="14" t="s">
        <v>562</v>
      </c>
      <c r="B142" s="15" t="s">
        <v>563</v>
      </c>
      <c r="C142" s="14">
        <v>1481</v>
      </c>
      <c r="D142" s="14">
        <v>14</v>
      </c>
      <c r="E142" s="16">
        <v>0.0096</v>
      </c>
      <c r="F142" s="17" t="s">
        <v>562</v>
      </c>
      <c r="G142" s="18" t="s">
        <v>563</v>
      </c>
      <c r="H142" s="17">
        <v>1407</v>
      </c>
      <c r="I142" s="17">
        <v>14</v>
      </c>
      <c r="J142" s="19">
        <v>0.010250685</v>
      </c>
      <c r="K142" s="20">
        <f t="shared" si="4"/>
        <v>0.000650685000000002</v>
      </c>
      <c r="L142" s="20"/>
    </row>
    <row r="143" ht="41.25" customHeight="1" spans="1:12">
      <c r="A143" s="14" t="s">
        <v>564</v>
      </c>
      <c r="B143" s="15" t="s">
        <v>565</v>
      </c>
      <c r="C143" s="14">
        <v>1305</v>
      </c>
      <c r="D143" s="14">
        <v>10</v>
      </c>
      <c r="E143" s="16">
        <v>0.008</v>
      </c>
      <c r="F143" s="17" t="s">
        <v>564</v>
      </c>
      <c r="G143" s="21" t="s">
        <v>96</v>
      </c>
      <c r="H143" s="17">
        <v>1183</v>
      </c>
      <c r="I143" s="17">
        <v>10</v>
      </c>
      <c r="J143" s="26">
        <v>0.008693552</v>
      </c>
      <c r="K143" s="20">
        <f t="shared" si="4"/>
        <v>0.000693552</v>
      </c>
      <c r="L143" s="20" t="s">
        <v>314</v>
      </c>
    </row>
    <row r="144" ht="41.25" customHeight="1" spans="1:12">
      <c r="A144" s="14" t="s">
        <v>566</v>
      </c>
      <c r="B144" s="15" t="s">
        <v>567</v>
      </c>
      <c r="C144" s="14">
        <v>1528</v>
      </c>
      <c r="D144" s="14">
        <v>18</v>
      </c>
      <c r="E144" s="16">
        <v>0.012</v>
      </c>
      <c r="F144" s="17" t="s">
        <v>566</v>
      </c>
      <c r="G144" s="18" t="s">
        <v>567</v>
      </c>
      <c r="H144" s="17">
        <v>1917</v>
      </c>
      <c r="I144" s="17">
        <v>26</v>
      </c>
      <c r="J144" s="19">
        <v>0.013781287</v>
      </c>
      <c r="K144" s="20">
        <f t="shared" si="4"/>
        <v>0.001781287</v>
      </c>
      <c r="L144" s="20"/>
    </row>
    <row r="145" ht="54.75" customHeight="1" spans="1:12">
      <c r="A145" s="14" t="s">
        <v>568</v>
      </c>
      <c r="B145" s="15" t="s">
        <v>569</v>
      </c>
      <c r="C145" s="14">
        <v>1307</v>
      </c>
      <c r="D145" s="14">
        <v>17</v>
      </c>
      <c r="E145" s="16">
        <v>0.0134</v>
      </c>
      <c r="F145" s="17" t="s">
        <v>568</v>
      </c>
      <c r="G145" s="18" t="s">
        <v>569</v>
      </c>
      <c r="H145" s="17">
        <v>1334</v>
      </c>
      <c r="I145" s="17">
        <v>21</v>
      </c>
      <c r="J145" s="19">
        <v>0.016267123</v>
      </c>
      <c r="K145" s="20">
        <f t="shared" si="4"/>
        <v>0.002867123</v>
      </c>
      <c r="L145" s="20"/>
    </row>
    <row r="146" ht="54.75" customHeight="1" spans="1:12">
      <c r="A146" s="14" t="s">
        <v>570</v>
      </c>
      <c r="B146" s="15" t="s">
        <v>571</v>
      </c>
      <c r="C146" s="14">
        <v>499</v>
      </c>
      <c r="D146" s="14">
        <v>13</v>
      </c>
      <c r="E146" s="16">
        <v>0.0266</v>
      </c>
      <c r="F146" s="17" t="s">
        <v>570</v>
      </c>
      <c r="G146" s="18" t="s">
        <v>571</v>
      </c>
      <c r="H146" s="17">
        <v>1471</v>
      </c>
      <c r="I146" s="17">
        <v>18</v>
      </c>
      <c r="J146" s="19">
        <v>0.012819268</v>
      </c>
      <c r="K146" s="25">
        <f t="shared" si="4"/>
        <v>-0.013780732</v>
      </c>
      <c r="L146" s="28"/>
    </row>
    <row r="147" ht="68.25" customHeight="1" spans="1:12">
      <c r="A147" s="14" t="s">
        <v>572</v>
      </c>
      <c r="B147" s="15" t="s">
        <v>573</v>
      </c>
      <c r="C147" s="14">
        <v>1262</v>
      </c>
      <c r="D147" s="14">
        <v>7</v>
      </c>
      <c r="E147" s="16">
        <v>0.0061</v>
      </c>
      <c r="F147" s="17" t="s">
        <v>572</v>
      </c>
      <c r="G147" s="21" t="s">
        <v>97</v>
      </c>
      <c r="H147" s="17">
        <v>1174</v>
      </c>
      <c r="I147" s="17">
        <v>9</v>
      </c>
      <c r="J147" s="26">
        <v>0.007664234</v>
      </c>
      <c r="K147" s="20">
        <f t="shared" si="4"/>
        <v>0.001564234</v>
      </c>
      <c r="L147" s="20" t="s">
        <v>314</v>
      </c>
    </row>
    <row r="148" ht="41.25" customHeight="1" spans="1:12">
      <c r="A148" s="14" t="s">
        <v>574</v>
      </c>
      <c r="B148" s="15" t="s">
        <v>575</v>
      </c>
      <c r="C148" s="14">
        <v>156</v>
      </c>
      <c r="D148" s="14">
        <v>4</v>
      </c>
      <c r="E148" s="16">
        <v>0.0274</v>
      </c>
      <c r="F148" s="17" t="s">
        <v>574</v>
      </c>
      <c r="G148" s="18" t="s">
        <v>575</v>
      </c>
      <c r="H148" s="17">
        <v>1232</v>
      </c>
      <c r="I148" s="17">
        <v>22</v>
      </c>
      <c r="J148" s="19">
        <v>0.017850933</v>
      </c>
      <c r="K148" s="25">
        <f t="shared" si="4"/>
        <v>-0.009549067</v>
      </c>
      <c r="L148" s="28"/>
    </row>
    <row r="149" ht="54.75" customHeight="1" spans="1:12">
      <c r="A149" s="14" t="s">
        <v>576</v>
      </c>
      <c r="B149" s="15" t="s">
        <v>577</v>
      </c>
      <c r="C149" s="14">
        <v>1447</v>
      </c>
      <c r="D149" s="14">
        <v>10</v>
      </c>
      <c r="E149" s="16">
        <v>0.0072</v>
      </c>
      <c r="F149" s="17" t="s">
        <v>576</v>
      </c>
      <c r="G149" s="21" t="s">
        <v>87</v>
      </c>
      <c r="H149" s="17">
        <v>2035</v>
      </c>
      <c r="I149" s="17">
        <v>20</v>
      </c>
      <c r="J149" s="26">
        <v>0.00982663</v>
      </c>
      <c r="K149" s="20">
        <f t="shared" si="4"/>
        <v>0.00262663</v>
      </c>
      <c r="L149" s="20" t="s">
        <v>314</v>
      </c>
    </row>
    <row r="150" ht="68.25" customHeight="1" spans="1:12">
      <c r="A150" s="14" t="s">
        <v>578</v>
      </c>
      <c r="B150" s="15" t="s">
        <v>579</v>
      </c>
      <c r="C150" s="14">
        <v>1517</v>
      </c>
      <c r="D150" s="14">
        <v>13</v>
      </c>
      <c r="E150" s="16">
        <v>0.0089</v>
      </c>
      <c r="F150" s="17" t="s">
        <v>578</v>
      </c>
      <c r="G150" s="21" t="s">
        <v>88</v>
      </c>
      <c r="H150" s="17">
        <v>1471</v>
      </c>
      <c r="I150" s="17">
        <v>12</v>
      </c>
      <c r="J150" s="26">
        <v>0.008543689</v>
      </c>
      <c r="K150" s="20">
        <f t="shared" si="4"/>
        <v>-0.000356311</v>
      </c>
      <c r="L150" s="20" t="s">
        <v>314</v>
      </c>
    </row>
    <row r="151" ht="41.25" customHeight="1" spans="1:12">
      <c r="A151" s="14" t="s">
        <v>580</v>
      </c>
      <c r="B151" s="15" t="s">
        <v>581</v>
      </c>
      <c r="C151" s="14">
        <v>1482</v>
      </c>
      <c r="D151" s="14">
        <v>11</v>
      </c>
      <c r="E151" s="16">
        <v>0.0078</v>
      </c>
      <c r="F151" s="17" t="s">
        <v>580</v>
      </c>
      <c r="G151" s="21" t="s">
        <v>89</v>
      </c>
      <c r="H151" s="17">
        <v>1478</v>
      </c>
      <c r="I151" s="17">
        <v>19</v>
      </c>
      <c r="J151" s="19">
        <v>0.012850242</v>
      </c>
      <c r="K151" s="20">
        <f t="shared" si="4"/>
        <v>0.005050242</v>
      </c>
      <c r="L151" s="20"/>
    </row>
    <row r="152" ht="68.25" customHeight="1" spans="1:12">
      <c r="A152" s="14" t="s">
        <v>582</v>
      </c>
      <c r="B152" s="15" t="s">
        <v>583</v>
      </c>
      <c r="C152" s="14">
        <v>1315</v>
      </c>
      <c r="D152" s="14">
        <v>8</v>
      </c>
      <c r="E152" s="16">
        <v>0.0064</v>
      </c>
      <c r="F152" s="17" t="s">
        <v>582</v>
      </c>
      <c r="G152" s="21" t="s">
        <v>90</v>
      </c>
      <c r="H152" s="17">
        <v>1048</v>
      </c>
      <c r="I152" s="17">
        <v>6</v>
      </c>
      <c r="J152" s="26">
        <v>0.006131626</v>
      </c>
      <c r="K152" s="20">
        <f t="shared" si="4"/>
        <v>-0.000268374</v>
      </c>
      <c r="L152" s="20" t="s">
        <v>314</v>
      </c>
    </row>
    <row r="153" ht="41.25" customHeight="1" spans="1:12">
      <c r="A153" s="14" t="s">
        <v>584</v>
      </c>
      <c r="B153" s="15" t="s">
        <v>585</v>
      </c>
      <c r="C153" s="14">
        <v>1452</v>
      </c>
      <c r="D153" s="14">
        <v>14</v>
      </c>
      <c r="E153" s="16">
        <v>0.0101</v>
      </c>
      <c r="F153" s="17" t="s">
        <v>584</v>
      </c>
      <c r="G153" s="18" t="s">
        <v>585</v>
      </c>
      <c r="H153" s="17">
        <v>1377</v>
      </c>
      <c r="I153" s="17">
        <v>14</v>
      </c>
      <c r="J153" s="19">
        <v>0.010785025</v>
      </c>
      <c r="K153" s="20">
        <f t="shared" si="4"/>
        <v>0.000685025000000001</v>
      </c>
      <c r="L153" s="20"/>
    </row>
    <row r="154" ht="54.75" customHeight="1" spans="1:12">
      <c r="A154" s="14" t="s">
        <v>586</v>
      </c>
      <c r="B154" s="15" t="s">
        <v>587</v>
      </c>
      <c r="C154" s="14">
        <v>1315</v>
      </c>
      <c r="D154" s="14">
        <v>13</v>
      </c>
      <c r="E154" s="16">
        <v>0.0105</v>
      </c>
      <c r="F154" s="17" t="s">
        <v>586</v>
      </c>
      <c r="G154" s="18" t="s">
        <v>587</v>
      </c>
      <c r="H154" s="17">
        <v>870</v>
      </c>
      <c r="I154" s="17">
        <v>10</v>
      </c>
      <c r="J154" s="19">
        <v>0.012143092</v>
      </c>
      <c r="K154" s="20">
        <f t="shared" si="4"/>
        <v>0.001643092</v>
      </c>
      <c r="L154" s="20"/>
    </row>
    <row r="155" ht="41.25" customHeight="1" spans="1:12">
      <c r="A155" s="14" t="s">
        <v>588</v>
      </c>
      <c r="B155" s="15" t="s">
        <v>589</v>
      </c>
      <c r="C155" s="14">
        <v>1317</v>
      </c>
      <c r="D155" s="14">
        <v>14</v>
      </c>
      <c r="E155" s="16">
        <v>0.0112</v>
      </c>
      <c r="F155" s="17" t="s">
        <v>588</v>
      </c>
      <c r="G155" s="18" t="s">
        <v>589</v>
      </c>
      <c r="H155" s="17">
        <v>863</v>
      </c>
      <c r="I155" s="17">
        <v>11</v>
      </c>
      <c r="J155" s="19">
        <v>0.012733587</v>
      </c>
      <c r="K155" s="20">
        <f t="shared" si="4"/>
        <v>0.001533587</v>
      </c>
      <c r="L155" s="20"/>
    </row>
    <row r="156" ht="68.25" customHeight="1" spans="1:12">
      <c r="A156" s="14" t="s">
        <v>590</v>
      </c>
      <c r="B156" s="15" t="s">
        <v>591</v>
      </c>
      <c r="C156" s="14">
        <v>1299</v>
      </c>
      <c r="D156" s="14">
        <v>10</v>
      </c>
      <c r="E156" s="16">
        <v>0.0084</v>
      </c>
      <c r="F156" s="17" t="s">
        <v>590</v>
      </c>
      <c r="G156" s="21" t="s">
        <v>91</v>
      </c>
      <c r="H156" s="17">
        <v>865</v>
      </c>
      <c r="I156" s="17">
        <v>5</v>
      </c>
      <c r="J156" s="26">
        <v>0.005941575</v>
      </c>
      <c r="K156" s="20">
        <f t="shared" si="4"/>
        <v>-0.002458425</v>
      </c>
      <c r="L156" s="20" t="s">
        <v>314</v>
      </c>
    </row>
    <row r="157" ht="41.25" customHeight="1" spans="1:12">
      <c r="A157" s="14" t="s">
        <v>592</v>
      </c>
      <c r="B157" s="15" t="s">
        <v>593</v>
      </c>
      <c r="C157" s="14">
        <v>1418</v>
      </c>
      <c r="D157" s="14">
        <v>21</v>
      </c>
      <c r="E157" s="16">
        <v>0.0151</v>
      </c>
      <c r="F157" s="17" t="s">
        <v>592</v>
      </c>
      <c r="G157" s="18" t="s">
        <v>593</v>
      </c>
      <c r="H157" s="17">
        <v>1497</v>
      </c>
      <c r="I157" s="17">
        <v>22</v>
      </c>
      <c r="J157" s="19">
        <v>0.015069146</v>
      </c>
      <c r="K157" s="20">
        <f t="shared" si="4"/>
        <v>-3.08540000000003e-5</v>
      </c>
      <c r="L157" s="20"/>
    </row>
    <row r="158" ht="54.75" customHeight="1" spans="1:12">
      <c r="A158" s="14" t="s">
        <v>594</v>
      </c>
      <c r="B158" s="15" t="s">
        <v>595</v>
      </c>
      <c r="C158" s="14">
        <v>1248</v>
      </c>
      <c r="D158" s="14">
        <v>7</v>
      </c>
      <c r="E158" s="16">
        <v>0.0058</v>
      </c>
      <c r="F158" s="17" t="s">
        <v>594</v>
      </c>
      <c r="G158" s="21" t="s">
        <v>92</v>
      </c>
      <c r="H158" s="17">
        <v>714</v>
      </c>
      <c r="I158" s="17">
        <v>7</v>
      </c>
      <c r="J158" s="19">
        <v>0.01079784</v>
      </c>
      <c r="K158" s="20">
        <f t="shared" si="4"/>
        <v>0.00499784</v>
      </c>
      <c r="L158" s="20"/>
    </row>
    <row r="159" ht="54.75" customHeight="1" spans="1:12">
      <c r="A159" s="14" t="s">
        <v>596</v>
      </c>
      <c r="B159" s="15" t="s">
        <v>597</v>
      </c>
      <c r="C159" s="14">
        <v>1430</v>
      </c>
      <c r="D159" s="14">
        <v>19</v>
      </c>
      <c r="E159" s="16">
        <v>0.0139</v>
      </c>
      <c r="F159" s="17" t="s">
        <v>596</v>
      </c>
      <c r="G159" s="21" t="s">
        <v>93</v>
      </c>
      <c r="H159" s="17">
        <v>1462</v>
      </c>
      <c r="I159" s="17">
        <v>15</v>
      </c>
      <c r="J159" s="19">
        <v>0.010549966</v>
      </c>
      <c r="K159" s="20">
        <f t="shared" si="4"/>
        <v>-0.003350034</v>
      </c>
      <c r="L159" s="20"/>
    </row>
    <row r="160" ht="54.75" customHeight="1" spans="1:12">
      <c r="A160" s="14" t="s">
        <v>598</v>
      </c>
      <c r="B160" s="15" t="s">
        <v>599</v>
      </c>
      <c r="C160" s="14">
        <v>1509</v>
      </c>
      <c r="D160" s="14">
        <v>16</v>
      </c>
      <c r="E160" s="16">
        <v>0.0106</v>
      </c>
      <c r="F160" s="17" t="s">
        <v>598</v>
      </c>
      <c r="G160" s="18" t="s">
        <v>599</v>
      </c>
      <c r="H160" s="17">
        <v>1495</v>
      </c>
      <c r="I160" s="17">
        <v>20</v>
      </c>
      <c r="J160" s="19">
        <v>0.013469622</v>
      </c>
      <c r="K160" s="20">
        <f t="shared" si="4"/>
        <v>0.002869622</v>
      </c>
      <c r="L160" s="20"/>
    </row>
    <row r="161" ht="41.25" customHeight="1" spans="1:12">
      <c r="A161" s="14" t="s">
        <v>600</v>
      </c>
      <c r="B161" s="15" t="s">
        <v>601</v>
      </c>
      <c r="C161" s="14">
        <v>1447</v>
      </c>
      <c r="D161" s="14">
        <v>19</v>
      </c>
      <c r="E161" s="16">
        <v>0.0134</v>
      </c>
      <c r="F161" s="17" t="s">
        <v>600</v>
      </c>
      <c r="G161" s="18" t="s">
        <v>601</v>
      </c>
      <c r="H161" s="17">
        <v>1335</v>
      </c>
      <c r="I161" s="17">
        <v>19</v>
      </c>
      <c r="J161" s="19">
        <v>0.01475778</v>
      </c>
      <c r="K161" s="20">
        <f t="shared" si="4"/>
        <v>0.00135778</v>
      </c>
      <c r="L161" s="20"/>
    </row>
    <row r="162" ht="54.75" customHeight="1" spans="1:12">
      <c r="A162" s="14" t="s">
        <v>602</v>
      </c>
      <c r="B162" s="15" t="s">
        <v>603</v>
      </c>
      <c r="C162" s="14">
        <v>464</v>
      </c>
      <c r="D162" s="14">
        <v>5</v>
      </c>
      <c r="E162" s="16">
        <v>0.012</v>
      </c>
      <c r="F162" s="17" t="s">
        <v>602</v>
      </c>
      <c r="G162" s="18" t="s">
        <v>603</v>
      </c>
      <c r="H162" s="17">
        <v>892</v>
      </c>
      <c r="I162" s="17">
        <v>7</v>
      </c>
      <c r="J162" s="26">
        <v>0.00784</v>
      </c>
      <c r="K162" s="20">
        <f t="shared" si="4"/>
        <v>-0.00416</v>
      </c>
      <c r="L162" s="20" t="s">
        <v>314</v>
      </c>
    </row>
    <row r="163" ht="68.25" customHeight="1" spans="1:12">
      <c r="A163" s="14" t="s">
        <v>604</v>
      </c>
      <c r="B163" s="15" t="s">
        <v>605</v>
      </c>
      <c r="C163" s="14">
        <v>1311</v>
      </c>
      <c r="D163" s="14">
        <v>11</v>
      </c>
      <c r="E163" s="16">
        <v>0.009</v>
      </c>
      <c r="F163" s="17" t="s">
        <v>604</v>
      </c>
      <c r="G163" s="21" t="s">
        <v>94</v>
      </c>
      <c r="H163" s="17">
        <v>858</v>
      </c>
      <c r="I163" s="17">
        <v>5</v>
      </c>
      <c r="J163" s="26">
        <v>0.006824234</v>
      </c>
      <c r="K163" s="20">
        <f t="shared" si="4"/>
        <v>-0.002175766</v>
      </c>
      <c r="L163" s="20" t="s">
        <v>314</v>
      </c>
    </row>
    <row r="164" ht="41.25" customHeight="1" spans="1:12">
      <c r="A164" s="14" t="s">
        <v>606</v>
      </c>
      <c r="B164" s="15" t="s">
        <v>607</v>
      </c>
      <c r="C164" s="14">
        <v>1439</v>
      </c>
      <c r="D164" s="14">
        <v>21</v>
      </c>
      <c r="E164" s="16">
        <v>0.0148</v>
      </c>
      <c r="F164" s="17" t="s">
        <v>606</v>
      </c>
      <c r="G164" s="18" t="s">
        <v>607</v>
      </c>
      <c r="H164" s="17">
        <v>1472</v>
      </c>
      <c r="I164" s="17">
        <v>21</v>
      </c>
      <c r="J164" s="19">
        <v>0.014647395</v>
      </c>
      <c r="K164" s="20">
        <f t="shared" si="4"/>
        <v>-0.000152605</v>
      </c>
      <c r="L164" s="20"/>
    </row>
    <row r="165" ht="41.25" customHeight="1" spans="1:12">
      <c r="A165" s="14" t="s">
        <v>608</v>
      </c>
      <c r="B165" s="15" t="s">
        <v>609</v>
      </c>
      <c r="C165" s="14">
        <v>1487</v>
      </c>
      <c r="D165" s="14">
        <v>14</v>
      </c>
      <c r="E165" s="16">
        <v>0.0099</v>
      </c>
      <c r="F165" s="17" t="s">
        <v>608</v>
      </c>
      <c r="G165" s="18" t="s">
        <v>609</v>
      </c>
      <c r="H165" s="17">
        <v>1426</v>
      </c>
      <c r="I165" s="17">
        <v>14</v>
      </c>
      <c r="J165" s="19">
        <v>0.010215323</v>
      </c>
      <c r="K165" s="20">
        <f t="shared" si="4"/>
        <v>0.000315322999999999</v>
      </c>
      <c r="L165" s="20"/>
    </row>
    <row r="166" ht="41.25" customHeight="1" spans="1:12">
      <c r="A166" s="14" t="s">
        <v>610</v>
      </c>
      <c r="B166" s="15" t="s">
        <v>611</v>
      </c>
      <c r="C166" s="14">
        <v>1229</v>
      </c>
      <c r="D166" s="14">
        <v>12</v>
      </c>
      <c r="E166" s="16">
        <v>0.01</v>
      </c>
      <c r="F166" s="17" t="s">
        <v>610</v>
      </c>
      <c r="G166" s="18" t="s">
        <v>611</v>
      </c>
      <c r="H166" s="17"/>
      <c r="I166" s="17"/>
      <c r="J166" s="19"/>
      <c r="K166" s="20"/>
      <c r="L166" s="20"/>
    </row>
    <row r="167" ht="54.75" customHeight="1" spans="1:12">
      <c r="A167" s="14" t="s">
        <v>612</v>
      </c>
      <c r="B167" s="15" t="s">
        <v>613</v>
      </c>
      <c r="C167" s="14">
        <v>1409</v>
      </c>
      <c r="D167" s="14">
        <v>15</v>
      </c>
      <c r="E167" s="16">
        <v>0.011</v>
      </c>
      <c r="F167" s="17" t="s">
        <v>612</v>
      </c>
      <c r="G167" s="18" t="s">
        <v>613</v>
      </c>
      <c r="H167" s="17"/>
      <c r="I167" s="17"/>
      <c r="J167" s="19"/>
      <c r="K167" s="20"/>
      <c r="L167" s="20"/>
    </row>
    <row r="168" ht="54.75" customHeight="1" spans="1:12">
      <c r="A168" s="14" t="s">
        <v>614</v>
      </c>
      <c r="B168" s="15" t="s">
        <v>615</v>
      </c>
      <c r="C168" s="14">
        <v>1427</v>
      </c>
      <c r="D168" s="14">
        <v>14</v>
      </c>
      <c r="E168" s="16">
        <v>0.0102</v>
      </c>
      <c r="F168" s="17" t="s">
        <v>614</v>
      </c>
      <c r="G168" s="18" t="s">
        <v>615</v>
      </c>
      <c r="H168" s="17">
        <v>1429</v>
      </c>
      <c r="I168" s="17">
        <v>16</v>
      </c>
      <c r="J168" s="19">
        <v>0.011694153</v>
      </c>
      <c r="K168" s="20">
        <f t="shared" ref="K168:K193" si="5">J168-E168</f>
        <v>0.001494153</v>
      </c>
      <c r="L168" s="20"/>
    </row>
    <row r="169" ht="41.25" customHeight="1" spans="1:12">
      <c r="A169" s="14" t="s">
        <v>616</v>
      </c>
      <c r="B169" s="15" t="s">
        <v>617</v>
      </c>
      <c r="C169" s="14">
        <v>1475</v>
      </c>
      <c r="D169" s="14">
        <v>19</v>
      </c>
      <c r="E169" s="16">
        <v>0.0129</v>
      </c>
      <c r="F169" s="17" t="s">
        <v>616</v>
      </c>
      <c r="G169" s="18" t="s">
        <v>617</v>
      </c>
      <c r="H169" s="17">
        <v>1371</v>
      </c>
      <c r="I169" s="17">
        <v>19</v>
      </c>
      <c r="J169" s="19">
        <v>0.013955426</v>
      </c>
      <c r="K169" s="20">
        <f t="shared" si="5"/>
        <v>0.001055426</v>
      </c>
      <c r="L169" s="20"/>
    </row>
    <row r="170" ht="68.25" customHeight="1" spans="1:12">
      <c r="A170" s="14" t="s">
        <v>618</v>
      </c>
      <c r="B170" s="15" t="s">
        <v>619</v>
      </c>
      <c r="C170" s="14">
        <v>1527</v>
      </c>
      <c r="D170" s="14">
        <v>10</v>
      </c>
      <c r="E170" s="16">
        <v>0.0065</v>
      </c>
      <c r="F170" s="17" t="s">
        <v>618</v>
      </c>
      <c r="G170" s="21" t="s">
        <v>110</v>
      </c>
      <c r="H170" s="17">
        <v>1447</v>
      </c>
      <c r="I170" s="17">
        <v>9</v>
      </c>
      <c r="J170" s="26">
        <v>0.006417218</v>
      </c>
      <c r="K170" s="20">
        <f t="shared" si="5"/>
        <v>-8.2782e-5</v>
      </c>
      <c r="L170" s="20" t="s">
        <v>314</v>
      </c>
    </row>
    <row r="171" ht="27.75" customHeight="1" spans="1:12">
      <c r="A171" s="14" t="s">
        <v>620</v>
      </c>
      <c r="B171" s="15" t="s">
        <v>621</v>
      </c>
      <c r="C171" s="14">
        <v>449</v>
      </c>
      <c r="D171" s="14">
        <v>6</v>
      </c>
      <c r="E171" s="16">
        <v>0.0137</v>
      </c>
      <c r="F171" s="17" t="s">
        <v>620</v>
      </c>
      <c r="G171" s="18" t="s">
        <v>621</v>
      </c>
      <c r="H171" s="17">
        <v>931</v>
      </c>
      <c r="I171" s="17">
        <v>10</v>
      </c>
      <c r="J171" s="19">
        <v>0.011046333</v>
      </c>
      <c r="K171" s="20">
        <f t="shared" si="5"/>
        <v>-0.002653667</v>
      </c>
      <c r="L171" s="20"/>
    </row>
    <row r="172" ht="41.25" customHeight="1" spans="1:12">
      <c r="A172" s="14" t="s">
        <v>622</v>
      </c>
      <c r="B172" s="15" t="s">
        <v>623</v>
      </c>
      <c r="C172" s="14">
        <v>1536</v>
      </c>
      <c r="D172" s="14">
        <v>17</v>
      </c>
      <c r="E172" s="16">
        <v>0.0114</v>
      </c>
      <c r="F172" s="17" t="s">
        <v>622</v>
      </c>
      <c r="G172" s="18" t="s">
        <v>623</v>
      </c>
      <c r="H172" s="17">
        <v>1284</v>
      </c>
      <c r="I172" s="17">
        <v>12</v>
      </c>
      <c r="J172" s="26">
        <v>0.009787565</v>
      </c>
      <c r="K172" s="20">
        <f t="shared" si="5"/>
        <v>-0.001612435</v>
      </c>
      <c r="L172" s="20" t="s">
        <v>314</v>
      </c>
    </row>
    <row r="173" ht="41.25" customHeight="1" spans="1:12">
      <c r="A173" s="14" t="s">
        <v>624</v>
      </c>
      <c r="B173" s="15" t="s">
        <v>625</v>
      </c>
      <c r="C173" s="14">
        <v>1561</v>
      </c>
      <c r="D173" s="14">
        <v>16</v>
      </c>
      <c r="E173" s="16">
        <v>0.0106</v>
      </c>
      <c r="F173" s="17" t="s">
        <v>624</v>
      </c>
      <c r="G173" s="18" t="s">
        <v>625</v>
      </c>
      <c r="H173" s="17">
        <v>2087</v>
      </c>
      <c r="I173" s="17">
        <v>24</v>
      </c>
      <c r="J173" s="19">
        <v>0.011631885</v>
      </c>
      <c r="K173" s="20">
        <f t="shared" si="5"/>
        <v>0.001031885</v>
      </c>
      <c r="L173" s="20"/>
    </row>
    <row r="174" ht="54.75" customHeight="1" spans="1:12">
      <c r="A174" s="14" t="s">
        <v>626</v>
      </c>
      <c r="B174" s="15" t="s">
        <v>627</v>
      </c>
      <c r="C174" s="14">
        <v>1166</v>
      </c>
      <c r="D174" s="14">
        <v>7</v>
      </c>
      <c r="E174" s="16">
        <v>0.006</v>
      </c>
      <c r="F174" s="17" t="s">
        <v>626</v>
      </c>
      <c r="G174" s="21" t="s">
        <v>111</v>
      </c>
      <c r="H174" s="17">
        <v>1272</v>
      </c>
      <c r="I174" s="17">
        <v>8</v>
      </c>
      <c r="J174" s="26">
        <v>0.006398743</v>
      </c>
      <c r="K174" s="20">
        <f t="shared" si="5"/>
        <v>0.000398743</v>
      </c>
      <c r="L174" s="20" t="s">
        <v>314</v>
      </c>
    </row>
    <row r="175" ht="41.25" customHeight="1" spans="1:12">
      <c r="A175" s="14" t="s">
        <v>628</v>
      </c>
      <c r="B175" s="15" t="s">
        <v>629</v>
      </c>
      <c r="C175" s="14">
        <v>1532</v>
      </c>
      <c r="D175" s="14">
        <v>23</v>
      </c>
      <c r="E175" s="16">
        <v>0.0152</v>
      </c>
      <c r="F175" s="17" t="s">
        <v>628</v>
      </c>
      <c r="G175" s="18" t="s">
        <v>629</v>
      </c>
      <c r="H175" s="17">
        <v>2273</v>
      </c>
      <c r="I175" s="17">
        <v>32</v>
      </c>
      <c r="J175" s="19">
        <v>0.014451775</v>
      </c>
      <c r="K175" s="20">
        <f t="shared" si="5"/>
        <v>-0.000748225</v>
      </c>
      <c r="L175" s="20"/>
    </row>
    <row r="176" ht="41.25" customHeight="1" spans="1:12">
      <c r="A176" s="14" t="s">
        <v>630</v>
      </c>
      <c r="B176" s="15" t="s">
        <v>631</v>
      </c>
      <c r="C176" s="14">
        <v>1126</v>
      </c>
      <c r="D176" s="14">
        <v>8</v>
      </c>
      <c r="E176" s="16">
        <v>0.0071</v>
      </c>
      <c r="F176" s="17" t="s">
        <v>630</v>
      </c>
      <c r="G176" s="21" t="s">
        <v>112</v>
      </c>
      <c r="H176" s="17">
        <v>938</v>
      </c>
      <c r="I176" s="17">
        <v>8</v>
      </c>
      <c r="J176" s="26">
        <v>0.00882935</v>
      </c>
      <c r="K176" s="20">
        <f t="shared" si="5"/>
        <v>0.00172935</v>
      </c>
      <c r="L176" s="20" t="s">
        <v>314</v>
      </c>
    </row>
    <row r="177" ht="41.25" customHeight="1" spans="1:12">
      <c r="A177" s="14" t="s">
        <v>632</v>
      </c>
      <c r="B177" s="15" t="s">
        <v>633</v>
      </c>
      <c r="C177" s="14">
        <v>1061</v>
      </c>
      <c r="D177" s="14">
        <v>13</v>
      </c>
      <c r="E177" s="16">
        <v>0.0123</v>
      </c>
      <c r="F177" s="17" t="s">
        <v>632</v>
      </c>
      <c r="G177" s="21" t="s">
        <v>113</v>
      </c>
      <c r="H177" s="17">
        <v>795</v>
      </c>
      <c r="I177" s="17">
        <v>6</v>
      </c>
      <c r="J177" s="26">
        <v>0.008080445</v>
      </c>
      <c r="K177" s="20">
        <f t="shared" si="5"/>
        <v>-0.004219555</v>
      </c>
      <c r="L177" s="20" t="s">
        <v>314</v>
      </c>
    </row>
    <row r="178" ht="54.75" customHeight="1" spans="1:12">
      <c r="A178" s="14" t="s">
        <v>634</v>
      </c>
      <c r="B178" s="15" t="s">
        <v>635</v>
      </c>
      <c r="C178" s="14">
        <v>1458</v>
      </c>
      <c r="D178" s="14">
        <v>7</v>
      </c>
      <c r="E178" s="16">
        <v>0.0054</v>
      </c>
      <c r="F178" s="17" t="s">
        <v>634</v>
      </c>
      <c r="G178" s="21" t="s">
        <v>98</v>
      </c>
      <c r="H178" s="17">
        <v>2161</v>
      </c>
      <c r="I178" s="17">
        <v>18</v>
      </c>
      <c r="J178" s="26">
        <v>0.008393365</v>
      </c>
      <c r="K178" s="20">
        <f t="shared" si="5"/>
        <v>0.002993365</v>
      </c>
      <c r="L178" s="20" t="s">
        <v>314</v>
      </c>
    </row>
    <row r="179" ht="68.25" customHeight="1" spans="1:12">
      <c r="A179" s="14" t="s">
        <v>636</v>
      </c>
      <c r="B179" s="15" t="s">
        <v>637</v>
      </c>
      <c r="C179" s="14">
        <v>1467</v>
      </c>
      <c r="D179" s="14">
        <v>11</v>
      </c>
      <c r="E179" s="16">
        <v>0.0075</v>
      </c>
      <c r="F179" s="17" t="s">
        <v>636</v>
      </c>
      <c r="G179" s="21" t="s">
        <v>99</v>
      </c>
      <c r="H179" s="17">
        <v>2099</v>
      </c>
      <c r="I179" s="17">
        <v>10</v>
      </c>
      <c r="J179" s="26">
        <v>0.004899626</v>
      </c>
      <c r="K179" s="20">
        <f t="shared" si="5"/>
        <v>-0.002600374</v>
      </c>
      <c r="L179" s="20" t="s">
        <v>314</v>
      </c>
    </row>
    <row r="180" ht="54.75" customHeight="1" spans="1:12">
      <c r="A180" s="14" t="s">
        <v>638</v>
      </c>
      <c r="B180" s="15" t="s">
        <v>639</v>
      </c>
      <c r="C180" s="14">
        <v>204</v>
      </c>
      <c r="D180" s="14">
        <v>4</v>
      </c>
      <c r="E180" s="16">
        <v>0.0223</v>
      </c>
      <c r="F180" s="17" t="s">
        <v>638</v>
      </c>
      <c r="G180" s="21" t="s">
        <v>100</v>
      </c>
      <c r="H180" s="17">
        <v>416</v>
      </c>
      <c r="I180" s="17">
        <v>9</v>
      </c>
      <c r="J180" s="19">
        <v>0.022321429</v>
      </c>
      <c r="K180" s="20">
        <f t="shared" si="5"/>
        <v>2.14289999999999e-5</v>
      </c>
      <c r="L180" s="20"/>
    </row>
    <row r="181" ht="68.25" customHeight="1" spans="1:12">
      <c r="A181" s="14" t="s">
        <v>640</v>
      </c>
      <c r="B181" s="15" t="s">
        <v>641</v>
      </c>
      <c r="C181" s="14">
        <v>1505</v>
      </c>
      <c r="D181" s="14">
        <v>10</v>
      </c>
      <c r="E181" s="16">
        <v>0.0071</v>
      </c>
      <c r="F181" s="17" t="s">
        <v>640</v>
      </c>
      <c r="G181" s="21" t="s">
        <v>101</v>
      </c>
      <c r="H181" s="17">
        <v>1432</v>
      </c>
      <c r="I181" s="17">
        <v>9</v>
      </c>
      <c r="J181" s="26">
        <v>0.006483144</v>
      </c>
      <c r="K181" s="20">
        <f t="shared" si="5"/>
        <v>-0.000616856000000001</v>
      </c>
      <c r="L181" s="20" t="s">
        <v>314</v>
      </c>
    </row>
    <row r="182" ht="41.25" customHeight="1" spans="1:12">
      <c r="A182" s="14" t="s">
        <v>642</v>
      </c>
      <c r="B182" s="15" t="s">
        <v>643</v>
      </c>
      <c r="C182" s="14">
        <v>1500</v>
      </c>
      <c r="D182" s="14">
        <v>12</v>
      </c>
      <c r="E182" s="16">
        <v>0.0081</v>
      </c>
      <c r="F182" s="17" t="s">
        <v>642</v>
      </c>
      <c r="G182" s="21" t="s">
        <v>102</v>
      </c>
      <c r="H182" s="17">
        <v>1478</v>
      </c>
      <c r="I182" s="17">
        <v>14</v>
      </c>
      <c r="J182" s="26">
        <v>0.00985793</v>
      </c>
      <c r="K182" s="20">
        <f t="shared" si="5"/>
        <v>0.00175793</v>
      </c>
      <c r="L182" s="20" t="s">
        <v>314</v>
      </c>
    </row>
    <row r="183" ht="54.75" customHeight="1" spans="1:12">
      <c r="A183" s="14" t="s">
        <v>644</v>
      </c>
      <c r="B183" s="15" t="s">
        <v>645</v>
      </c>
      <c r="C183" s="14">
        <v>1452</v>
      </c>
      <c r="D183" s="14">
        <v>13</v>
      </c>
      <c r="E183" s="16">
        <v>0.0092</v>
      </c>
      <c r="F183" s="17" t="s">
        <v>644</v>
      </c>
      <c r="G183" s="18" t="s">
        <v>645</v>
      </c>
      <c r="H183" s="17">
        <v>1494</v>
      </c>
      <c r="I183" s="17">
        <v>16</v>
      </c>
      <c r="J183" s="19">
        <v>0.010805125</v>
      </c>
      <c r="K183" s="20">
        <f t="shared" si="5"/>
        <v>0.001605125</v>
      </c>
      <c r="L183" s="20"/>
    </row>
    <row r="184" ht="68.25" customHeight="1" spans="1:12">
      <c r="A184" s="14" t="s">
        <v>646</v>
      </c>
      <c r="B184" s="15" t="s">
        <v>647</v>
      </c>
      <c r="C184" s="14">
        <v>1463</v>
      </c>
      <c r="D184" s="14">
        <v>10</v>
      </c>
      <c r="E184" s="16">
        <v>0.007</v>
      </c>
      <c r="F184" s="17" t="s">
        <v>646</v>
      </c>
      <c r="G184" s="21" t="s">
        <v>103</v>
      </c>
      <c r="H184" s="17">
        <v>1496</v>
      </c>
      <c r="I184" s="17">
        <v>12</v>
      </c>
      <c r="J184" s="26">
        <v>0.008303904</v>
      </c>
      <c r="K184" s="20">
        <f t="shared" si="5"/>
        <v>0.001303904</v>
      </c>
      <c r="L184" s="20" t="s">
        <v>314</v>
      </c>
    </row>
    <row r="185" ht="54.75" customHeight="1" spans="1:12">
      <c r="A185" s="14" t="s">
        <v>648</v>
      </c>
      <c r="B185" s="15" t="s">
        <v>649</v>
      </c>
      <c r="C185" s="14">
        <v>1407</v>
      </c>
      <c r="D185" s="14">
        <v>11</v>
      </c>
      <c r="E185" s="16">
        <v>0.0081</v>
      </c>
      <c r="F185" s="17" t="s">
        <v>648</v>
      </c>
      <c r="G185" s="21" t="s">
        <v>104</v>
      </c>
      <c r="H185" s="17">
        <v>1170</v>
      </c>
      <c r="I185" s="17">
        <v>9</v>
      </c>
      <c r="J185" s="26">
        <v>0.008299768</v>
      </c>
      <c r="K185" s="20">
        <f t="shared" si="5"/>
        <v>0.000199768000000001</v>
      </c>
      <c r="L185" s="20" t="s">
        <v>314</v>
      </c>
    </row>
    <row r="186" ht="68.25" customHeight="1" spans="1:12">
      <c r="A186" s="14" t="s">
        <v>650</v>
      </c>
      <c r="B186" s="15" t="s">
        <v>651</v>
      </c>
      <c r="C186" s="14">
        <v>583</v>
      </c>
      <c r="D186" s="14">
        <v>3</v>
      </c>
      <c r="E186" s="16">
        <v>0.0064</v>
      </c>
      <c r="F186" s="17" t="s">
        <v>650</v>
      </c>
      <c r="G186" s="21" t="s">
        <v>105</v>
      </c>
      <c r="H186" s="17">
        <v>590</v>
      </c>
      <c r="I186" s="17">
        <v>4</v>
      </c>
      <c r="J186" s="26">
        <v>0.008220503</v>
      </c>
      <c r="K186" s="20">
        <f t="shared" si="5"/>
        <v>0.001820503</v>
      </c>
      <c r="L186" s="20" t="s">
        <v>314</v>
      </c>
    </row>
    <row r="187" ht="68.25" customHeight="1" spans="1:12">
      <c r="A187" s="14" t="s">
        <v>652</v>
      </c>
      <c r="B187" s="15" t="s">
        <v>653</v>
      </c>
      <c r="C187" s="14">
        <v>1423</v>
      </c>
      <c r="D187" s="14">
        <v>11</v>
      </c>
      <c r="E187" s="16">
        <v>0.0078</v>
      </c>
      <c r="F187" s="17" t="s">
        <v>652</v>
      </c>
      <c r="G187" s="21" t="s">
        <v>106</v>
      </c>
      <c r="H187" s="17">
        <v>1448</v>
      </c>
      <c r="I187" s="17">
        <v>8</v>
      </c>
      <c r="J187" s="26">
        <v>0.005819688</v>
      </c>
      <c r="K187" s="20">
        <f t="shared" si="5"/>
        <v>-0.001980312</v>
      </c>
      <c r="L187" s="20" t="s">
        <v>314</v>
      </c>
    </row>
    <row r="188" ht="68.25" customHeight="1" spans="1:12">
      <c r="A188" s="14" t="s">
        <v>654</v>
      </c>
      <c r="B188" s="15" t="s">
        <v>655</v>
      </c>
      <c r="C188" s="14">
        <v>1445</v>
      </c>
      <c r="D188" s="14">
        <v>7</v>
      </c>
      <c r="E188" s="16">
        <v>0.0054</v>
      </c>
      <c r="F188" s="17" t="s">
        <v>654</v>
      </c>
      <c r="G188" s="21" t="s">
        <v>107</v>
      </c>
      <c r="H188" s="17">
        <v>1413</v>
      </c>
      <c r="I188" s="17">
        <v>7</v>
      </c>
      <c r="J188" s="26">
        <v>0.005358407</v>
      </c>
      <c r="K188" s="20">
        <f t="shared" si="5"/>
        <v>-4.15930000000004e-5</v>
      </c>
      <c r="L188" s="20" t="s">
        <v>314</v>
      </c>
    </row>
    <row r="189" ht="41.25" customHeight="1" spans="1:12">
      <c r="A189" s="14" t="s">
        <v>656</v>
      </c>
      <c r="B189" s="15" t="s">
        <v>657</v>
      </c>
      <c r="C189" s="14">
        <v>1440</v>
      </c>
      <c r="D189" s="14">
        <v>23</v>
      </c>
      <c r="E189" s="16">
        <v>0.016</v>
      </c>
      <c r="F189" s="17" t="s">
        <v>656</v>
      </c>
      <c r="G189" s="18" t="s">
        <v>657</v>
      </c>
      <c r="H189" s="17">
        <v>1223</v>
      </c>
      <c r="I189" s="17">
        <v>18</v>
      </c>
      <c r="J189" s="19">
        <v>0.015059538</v>
      </c>
      <c r="K189" s="20">
        <f t="shared" si="5"/>
        <v>-0.000940462</v>
      </c>
      <c r="L189" s="20"/>
    </row>
    <row r="190" ht="41.25" customHeight="1" spans="1:12">
      <c r="A190" s="14" t="s">
        <v>658</v>
      </c>
      <c r="B190" s="15" t="s">
        <v>659</v>
      </c>
      <c r="C190" s="14">
        <v>1465</v>
      </c>
      <c r="D190" s="14">
        <v>21</v>
      </c>
      <c r="E190" s="16">
        <v>0.0144</v>
      </c>
      <c r="F190" s="17" t="s">
        <v>658</v>
      </c>
      <c r="G190" s="18" t="s">
        <v>659</v>
      </c>
      <c r="H190" s="17">
        <v>1115</v>
      </c>
      <c r="I190" s="17">
        <v>13</v>
      </c>
      <c r="J190" s="19">
        <v>0.011785806</v>
      </c>
      <c r="K190" s="20">
        <f t="shared" si="5"/>
        <v>-0.002614194</v>
      </c>
      <c r="L190" s="20"/>
    </row>
    <row r="191" ht="41.25" customHeight="1" spans="1:12">
      <c r="A191" s="14" t="s">
        <v>660</v>
      </c>
      <c r="B191" s="15" t="s">
        <v>661</v>
      </c>
      <c r="C191" s="14">
        <v>1587</v>
      </c>
      <c r="D191" s="14">
        <v>21</v>
      </c>
      <c r="E191" s="16">
        <v>0.0132</v>
      </c>
      <c r="F191" s="17" t="s">
        <v>660</v>
      </c>
      <c r="G191" s="18" t="s">
        <v>661</v>
      </c>
      <c r="H191" s="17">
        <v>1451</v>
      </c>
      <c r="I191" s="17">
        <v>17</v>
      </c>
      <c r="J191" s="19">
        <v>0.011911794</v>
      </c>
      <c r="K191" s="20">
        <f t="shared" si="5"/>
        <v>-0.001288206</v>
      </c>
      <c r="L191" s="20"/>
    </row>
    <row r="192" ht="68.25" customHeight="1" spans="1:12">
      <c r="A192" s="14" t="s">
        <v>662</v>
      </c>
      <c r="B192" s="15" t="s">
        <v>663</v>
      </c>
      <c r="C192" s="14">
        <v>1578</v>
      </c>
      <c r="D192" s="14">
        <v>22</v>
      </c>
      <c r="E192" s="16">
        <v>0.014</v>
      </c>
      <c r="F192" s="17" t="s">
        <v>662</v>
      </c>
      <c r="G192" s="18" t="s">
        <v>663</v>
      </c>
      <c r="H192" s="17">
        <v>1426</v>
      </c>
      <c r="I192" s="17">
        <v>16</v>
      </c>
      <c r="J192" s="19">
        <v>0.011821278</v>
      </c>
      <c r="K192" s="20">
        <f t="shared" si="5"/>
        <v>-0.002178722</v>
      </c>
      <c r="L192" s="20"/>
    </row>
    <row r="193" ht="68.25" customHeight="1" spans="1:12">
      <c r="A193" s="14" t="s">
        <v>664</v>
      </c>
      <c r="B193" s="15" t="s">
        <v>665</v>
      </c>
      <c r="C193" s="14">
        <v>1474</v>
      </c>
      <c r="D193" s="14">
        <v>10</v>
      </c>
      <c r="E193" s="16">
        <v>0.0072</v>
      </c>
      <c r="F193" s="17" t="s">
        <v>664</v>
      </c>
      <c r="G193" s="21" t="s">
        <v>108</v>
      </c>
      <c r="H193" s="17">
        <v>1457</v>
      </c>
      <c r="I193" s="17">
        <v>9</v>
      </c>
      <c r="J193" s="26">
        <v>0.006467418</v>
      </c>
      <c r="K193" s="20">
        <f t="shared" si="5"/>
        <v>-0.000732582</v>
      </c>
      <c r="L193" s="20" t="s">
        <v>314</v>
      </c>
    </row>
    <row r="194" ht="54.75" customHeight="1" spans="1:12">
      <c r="A194" s="14" t="s">
        <v>666</v>
      </c>
      <c r="B194" s="15" t="s">
        <v>667</v>
      </c>
      <c r="C194" s="14">
        <v>1516</v>
      </c>
      <c r="D194" s="14">
        <v>12</v>
      </c>
      <c r="E194" s="16">
        <v>0.0079</v>
      </c>
      <c r="F194" s="17" t="s">
        <v>666</v>
      </c>
      <c r="G194" s="21" t="s">
        <v>109</v>
      </c>
      <c r="H194" s="17"/>
      <c r="I194" s="17"/>
      <c r="J194" s="19"/>
      <c r="K194" s="20"/>
      <c r="L194" s="20"/>
    </row>
    <row r="195" ht="41.25" customHeight="1" spans="1:12">
      <c r="A195" s="14" t="s">
        <v>668</v>
      </c>
      <c r="B195" s="15" t="s">
        <v>669</v>
      </c>
      <c r="C195" s="14">
        <v>1511</v>
      </c>
      <c r="D195" s="14">
        <v>22</v>
      </c>
      <c r="E195" s="16">
        <v>0.015</v>
      </c>
      <c r="F195" s="17" t="s">
        <v>668</v>
      </c>
      <c r="G195" s="18" t="s">
        <v>669</v>
      </c>
      <c r="H195" s="17">
        <v>1466</v>
      </c>
      <c r="I195" s="17">
        <v>22</v>
      </c>
      <c r="J195" s="19">
        <v>0.015485002</v>
      </c>
      <c r="K195" s="20">
        <f t="shared" ref="K195:K220" si="6">J195-E195</f>
        <v>0.000485002</v>
      </c>
      <c r="L195" s="20"/>
    </row>
    <row r="196" ht="54.75" customHeight="1" spans="1:12">
      <c r="A196" s="14" t="s">
        <v>670</v>
      </c>
      <c r="B196" s="15" t="s">
        <v>671</v>
      </c>
      <c r="C196" s="14">
        <v>1</v>
      </c>
      <c r="D196" s="14">
        <v>0</v>
      </c>
      <c r="E196" s="16">
        <v>0</v>
      </c>
      <c r="F196" s="17" t="s">
        <v>670</v>
      </c>
      <c r="G196" s="21" t="s">
        <v>117</v>
      </c>
      <c r="H196" s="17">
        <v>41</v>
      </c>
      <c r="I196" s="17">
        <v>0</v>
      </c>
      <c r="J196" s="19">
        <v>0.01369863</v>
      </c>
      <c r="K196" s="20">
        <f t="shared" si="6"/>
        <v>0.01369863</v>
      </c>
      <c r="L196" s="20"/>
    </row>
    <row r="197" ht="41.25" customHeight="1" spans="1:12">
      <c r="A197" s="14" t="s">
        <v>672</v>
      </c>
      <c r="B197" s="15" t="s">
        <v>673</v>
      </c>
      <c r="C197" s="14">
        <v>2</v>
      </c>
      <c r="D197" s="14">
        <v>0</v>
      </c>
      <c r="E197" s="16">
        <v>0</v>
      </c>
      <c r="F197" s="17" t="s">
        <v>672</v>
      </c>
      <c r="G197" s="18" t="s">
        <v>673</v>
      </c>
      <c r="H197" s="17">
        <v>69</v>
      </c>
      <c r="I197" s="17">
        <v>1</v>
      </c>
      <c r="J197" s="19">
        <v>0.01863354</v>
      </c>
      <c r="K197" s="20">
        <f t="shared" si="6"/>
        <v>0.01863354</v>
      </c>
      <c r="L197" s="20"/>
    </row>
    <row r="198" ht="41.25" customHeight="1" spans="1:12">
      <c r="A198" s="14" t="s">
        <v>674</v>
      </c>
      <c r="B198" s="15" t="s">
        <v>675</v>
      </c>
      <c r="C198" s="14">
        <v>1557</v>
      </c>
      <c r="D198" s="14">
        <v>11</v>
      </c>
      <c r="E198" s="16">
        <v>0.0074</v>
      </c>
      <c r="F198" s="17" t="s">
        <v>674</v>
      </c>
      <c r="G198" s="21" t="s">
        <v>121</v>
      </c>
      <c r="H198" s="17">
        <v>1313</v>
      </c>
      <c r="I198" s="17">
        <v>7</v>
      </c>
      <c r="J198" s="26">
        <v>0.005764002</v>
      </c>
      <c r="K198" s="20">
        <f t="shared" si="6"/>
        <v>-0.001635998</v>
      </c>
      <c r="L198" s="20" t="s">
        <v>314</v>
      </c>
    </row>
    <row r="199" ht="54.75" customHeight="1" spans="1:12">
      <c r="A199" s="14" t="s">
        <v>676</v>
      </c>
      <c r="B199" s="15" t="s">
        <v>677</v>
      </c>
      <c r="C199" s="14">
        <v>1496</v>
      </c>
      <c r="D199" s="14">
        <v>15</v>
      </c>
      <c r="E199" s="16">
        <v>0.0102</v>
      </c>
      <c r="F199" s="17" t="s">
        <v>676</v>
      </c>
      <c r="G199" s="18" t="s">
        <v>122</v>
      </c>
      <c r="H199" s="17">
        <v>1464</v>
      </c>
      <c r="I199" s="17">
        <v>17</v>
      </c>
      <c r="J199" s="19">
        <v>0.01170275</v>
      </c>
      <c r="K199" s="20">
        <f t="shared" si="6"/>
        <v>0.00150275</v>
      </c>
      <c r="L199" s="20"/>
    </row>
    <row r="200" ht="54.75" customHeight="1" spans="1:12">
      <c r="A200" s="14" t="s">
        <v>678</v>
      </c>
      <c r="B200" s="15" t="s">
        <v>679</v>
      </c>
      <c r="C200" s="14">
        <v>1503</v>
      </c>
      <c r="D200" s="14">
        <v>8</v>
      </c>
      <c r="E200" s="16">
        <v>0.0056</v>
      </c>
      <c r="F200" s="17" t="s">
        <v>678</v>
      </c>
      <c r="G200" s="21" t="s">
        <v>123</v>
      </c>
      <c r="H200" s="17">
        <v>2088</v>
      </c>
      <c r="I200" s="17">
        <v>14</v>
      </c>
      <c r="J200" s="26">
        <v>0.006840881</v>
      </c>
      <c r="K200" s="20">
        <f t="shared" si="6"/>
        <v>0.001240881</v>
      </c>
      <c r="L200" s="20" t="s">
        <v>314</v>
      </c>
    </row>
    <row r="201" ht="68.25" customHeight="1" spans="1:12">
      <c r="A201" s="14" t="s">
        <v>680</v>
      </c>
      <c r="B201" s="15" t="s">
        <v>681</v>
      </c>
      <c r="C201" s="14">
        <v>1477</v>
      </c>
      <c r="D201" s="14">
        <v>12</v>
      </c>
      <c r="E201" s="16">
        <v>0.0085</v>
      </c>
      <c r="F201" s="17" t="s">
        <v>680</v>
      </c>
      <c r="G201" s="21" t="s">
        <v>124</v>
      </c>
      <c r="H201" s="17">
        <v>2044</v>
      </c>
      <c r="I201" s="17">
        <v>15</v>
      </c>
      <c r="J201" s="26">
        <v>0.007408443</v>
      </c>
      <c r="K201" s="20">
        <f t="shared" si="6"/>
        <v>-0.001091557</v>
      </c>
      <c r="L201" s="20" t="s">
        <v>314</v>
      </c>
    </row>
    <row r="202" ht="54.75" customHeight="1" spans="1:12">
      <c r="A202" s="14" t="s">
        <v>682</v>
      </c>
      <c r="B202" s="15" t="s">
        <v>683</v>
      </c>
      <c r="C202" s="14">
        <v>91</v>
      </c>
      <c r="D202" s="14">
        <v>2</v>
      </c>
      <c r="E202" s="16">
        <v>0.0234</v>
      </c>
      <c r="F202" s="17" t="s">
        <v>682</v>
      </c>
      <c r="G202" s="18" t="s">
        <v>683</v>
      </c>
      <c r="H202" s="17">
        <v>209</v>
      </c>
      <c r="I202" s="17">
        <v>5</v>
      </c>
      <c r="J202" s="19">
        <v>0.025903204</v>
      </c>
      <c r="K202" s="20">
        <f t="shared" si="6"/>
        <v>0.002503204</v>
      </c>
      <c r="L202" s="20"/>
    </row>
    <row r="203" ht="68.25" customHeight="1" spans="1:12">
      <c r="A203" s="14" t="s">
        <v>684</v>
      </c>
      <c r="B203" s="15" t="s">
        <v>685</v>
      </c>
      <c r="C203" s="14">
        <v>1496</v>
      </c>
      <c r="D203" s="14">
        <v>13</v>
      </c>
      <c r="E203" s="16">
        <v>0.009</v>
      </c>
      <c r="F203" s="17" t="s">
        <v>684</v>
      </c>
      <c r="G203" s="21" t="s">
        <v>125</v>
      </c>
      <c r="H203" s="17">
        <v>1902</v>
      </c>
      <c r="I203" s="17">
        <v>14</v>
      </c>
      <c r="J203" s="26">
        <v>0.007434665</v>
      </c>
      <c r="K203" s="20">
        <f t="shared" si="6"/>
        <v>-0.001565335</v>
      </c>
      <c r="L203" s="20" t="s">
        <v>314</v>
      </c>
    </row>
    <row r="204" ht="54.75" customHeight="1" spans="1:12">
      <c r="A204" s="14" t="s">
        <v>686</v>
      </c>
      <c r="B204" s="15" t="s">
        <v>687</v>
      </c>
      <c r="C204" s="14">
        <v>1497</v>
      </c>
      <c r="D204" s="14">
        <v>8</v>
      </c>
      <c r="E204" s="16">
        <v>0.0056</v>
      </c>
      <c r="F204" s="17" t="s">
        <v>686</v>
      </c>
      <c r="G204" s="21" t="s">
        <v>126</v>
      </c>
      <c r="H204" s="17">
        <v>2038</v>
      </c>
      <c r="I204" s="17">
        <v>16</v>
      </c>
      <c r="J204" s="26">
        <v>0.008271415</v>
      </c>
      <c r="K204" s="20">
        <f t="shared" si="6"/>
        <v>0.002671415</v>
      </c>
      <c r="L204" s="20" t="s">
        <v>314</v>
      </c>
    </row>
    <row r="205" ht="41.25" customHeight="1" spans="1:12">
      <c r="A205" s="14" t="s">
        <v>688</v>
      </c>
      <c r="B205" s="15" t="s">
        <v>689</v>
      </c>
      <c r="C205" s="14">
        <v>128</v>
      </c>
      <c r="D205" s="14">
        <v>2</v>
      </c>
      <c r="E205" s="16">
        <v>0.0156</v>
      </c>
      <c r="F205" s="17" t="s">
        <v>688</v>
      </c>
      <c r="G205" s="18" t="s">
        <v>689</v>
      </c>
      <c r="H205" s="17">
        <v>227</v>
      </c>
      <c r="I205" s="17">
        <v>4</v>
      </c>
      <c r="J205" s="19">
        <v>0.018250472</v>
      </c>
      <c r="K205" s="20">
        <f t="shared" si="6"/>
        <v>0.002650472</v>
      </c>
      <c r="L205" s="20"/>
    </row>
    <row r="206" ht="41.25" customHeight="1" spans="1:12">
      <c r="A206" s="14" t="s">
        <v>690</v>
      </c>
      <c r="B206" s="15" t="s">
        <v>691</v>
      </c>
      <c r="C206" s="14">
        <v>140</v>
      </c>
      <c r="D206" s="14">
        <v>2</v>
      </c>
      <c r="E206" s="16">
        <v>0.0163</v>
      </c>
      <c r="F206" s="17" t="s">
        <v>690</v>
      </c>
      <c r="G206" s="18" t="s">
        <v>691</v>
      </c>
      <c r="H206" s="17">
        <v>143</v>
      </c>
      <c r="I206" s="17">
        <v>2</v>
      </c>
      <c r="J206" s="19">
        <v>0.016983017</v>
      </c>
      <c r="K206" s="20">
        <f t="shared" si="6"/>
        <v>0.000683017000000001</v>
      </c>
      <c r="L206" s="20"/>
    </row>
    <row r="207" ht="54.75" customHeight="1" spans="1:12">
      <c r="A207" s="14" t="s">
        <v>692</v>
      </c>
      <c r="B207" s="15" t="s">
        <v>693</v>
      </c>
      <c r="C207" s="14">
        <v>1395</v>
      </c>
      <c r="D207" s="14">
        <v>10</v>
      </c>
      <c r="E207" s="16">
        <v>0.0072</v>
      </c>
      <c r="F207" s="17" t="s">
        <v>692</v>
      </c>
      <c r="G207" s="21" t="s">
        <v>114</v>
      </c>
      <c r="H207" s="17">
        <v>1454</v>
      </c>
      <c r="I207" s="17">
        <v>9</v>
      </c>
      <c r="J207" s="26">
        <v>0.006480754</v>
      </c>
      <c r="K207" s="20">
        <f t="shared" si="6"/>
        <v>-0.000719246</v>
      </c>
      <c r="L207" s="20" t="s">
        <v>314</v>
      </c>
    </row>
    <row r="208" ht="54.75" customHeight="1" spans="1:12">
      <c r="A208" s="14" t="s">
        <v>694</v>
      </c>
      <c r="B208" s="15" t="s">
        <v>695</v>
      </c>
      <c r="C208" s="14">
        <v>1436</v>
      </c>
      <c r="D208" s="14">
        <v>19</v>
      </c>
      <c r="E208" s="16">
        <v>0.0132</v>
      </c>
      <c r="F208" s="17" t="s">
        <v>694</v>
      </c>
      <c r="G208" s="18" t="s">
        <v>695</v>
      </c>
      <c r="H208" s="17">
        <v>1519</v>
      </c>
      <c r="I208" s="17">
        <v>17</v>
      </c>
      <c r="J208" s="19">
        <v>0.011658518</v>
      </c>
      <c r="K208" s="20">
        <f t="shared" si="6"/>
        <v>-0.001541482</v>
      </c>
      <c r="L208" s="20"/>
    </row>
    <row r="209" ht="68.25" customHeight="1" spans="1:12">
      <c r="A209" s="14" t="s">
        <v>696</v>
      </c>
      <c r="B209" s="15" t="s">
        <v>697</v>
      </c>
      <c r="C209" s="14">
        <v>1440</v>
      </c>
      <c r="D209" s="14">
        <v>8</v>
      </c>
      <c r="E209" s="16">
        <v>0.0058</v>
      </c>
      <c r="F209" s="17" t="s">
        <v>696</v>
      </c>
      <c r="G209" s="21" t="s">
        <v>115</v>
      </c>
      <c r="H209" s="17">
        <v>1505</v>
      </c>
      <c r="I209" s="17">
        <v>6</v>
      </c>
      <c r="J209" s="26">
        <v>0.004460473</v>
      </c>
      <c r="K209" s="20">
        <f t="shared" si="6"/>
        <v>-0.001339527</v>
      </c>
      <c r="L209" s="20" t="s">
        <v>314</v>
      </c>
    </row>
    <row r="210" ht="54.75" customHeight="1" spans="1:12">
      <c r="A210" s="14" t="s">
        <v>698</v>
      </c>
      <c r="B210" s="15" t="s">
        <v>699</v>
      </c>
      <c r="C210" s="14">
        <v>1420</v>
      </c>
      <c r="D210" s="14">
        <v>9</v>
      </c>
      <c r="E210" s="16">
        <v>0.0068</v>
      </c>
      <c r="F210" s="17" t="s">
        <v>698</v>
      </c>
      <c r="G210" s="21" t="s">
        <v>116</v>
      </c>
      <c r="H210" s="17">
        <v>1482</v>
      </c>
      <c r="I210" s="17">
        <v>9</v>
      </c>
      <c r="J210" s="26">
        <v>0.00636022</v>
      </c>
      <c r="K210" s="20">
        <f t="shared" si="6"/>
        <v>-0.00043978</v>
      </c>
      <c r="L210" s="20" t="s">
        <v>314</v>
      </c>
    </row>
    <row r="211" ht="27.75" customHeight="1" spans="1:12">
      <c r="A211" s="14" t="s">
        <v>700</v>
      </c>
      <c r="B211" s="15" t="s">
        <v>701</v>
      </c>
      <c r="C211" s="14">
        <v>129</v>
      </c>
      <c r="D211" s="14">
        <v>2</v>
      </c>
      <c r="E211" s="16">
        <v>0.0155</v>
      </c>
      <c r="F211" s="17" t="s">
        <v>700</v>
      </c>
      <c r="G211" s="18" t="s">
        <v>701</v>
      </c>
      <c r="H211" s="17">
        <v>154</v>
      </c>
      <c r="I211" s="17">
        <v>1</v>
      </c>
      <c r="J211" s="19">
        <v>0.01199262</v>
      </c>
      <c r="K211" s="20">
        <f t="shared" si="6"/>
        <v>-0.00350738</v>
      </c>
      <c r="L211" s="20"/>
    </row>
    <row r="212" ht="41.25" customHeight="1" spans="1:12">
      <c r="A212" s="14" t="s">
        <v>702</v>
      </c>
      <c r="B212" s="15" t="s">
        <v>703</v>
      </c>
      <c r="C212" s="14">
        <v>148</v>
      </c>
      <c r="D212" s="14">
        <v>2</v>
      </c>
      <c r="E212" s="16">
        <v>0.0135</v>
      </c>
      <c r="F212" s="17" t="s">
        <v>702</v>
      </c>
      <c r="G212" s="18" t="s">
        <v>703</v>
      </c>
      <c r="H212" s="17">
        <v>157</v>
      </c>
      <c r="I212" s="17">
        <v>2</v>
      </c>
      <c r="J212" s="19">
        <v>0.014545455</v>
      </c>
      <c r="K212" s="20">
        <f t="shared" si="6"/>
        <v>0.001045455</v>
      </c>
      <c r="L212" s="20"/>
    </row>
    <row r="213" ht="68.25" customHeight="1" spans="1:12">
      <c r="A213" s="14" t="s">
        <v>704</v>
      </c>
      <c r="B213" s="15" t="s">
        <v>705</v>
      </c>
      <c r="C213" s="14">
        <v>1356</v>
      </c>
      <c r="D213" s="14">
        <v>11</v>
      </c>
      <c r="E213" s="16">
        <v>0.0087</v>
      </c>
      <c r="F213" s="17" t="s">
        <v>704</v>
      </c>
      <c r="G213" s="21" t="s">
        <v>118</v>
      </c>
      <c r="H213" s="17">
        <v>1336</v>
      </c>
      <c r="I213" s="17">
        <v>10</v>
      </c>
      <c r="J213" s="26">
        <v>0.00748263</v>
      </c>
      <c r="K213" s="20">
        <f t="shared" si="6"/>
        <v>-0.00121737</v>
      </c>
      <c r="L213" s="20" t="s">
        <v>314</v>
      </c>
    </row>
    <row r="214" ht="68.25" customHeight="1" spans="1:12">
      <c r="A214" s="14" t="s">
        <v>706</v>
      </c>
      <c r="B214" s="15" t="s">
        <v>707</v>
      </c>
      <c r="C214" s="14">
        <v>1403</v>
      </c>
      <c r="D214" s="14">
        <v>14</v>
      </c>
      <c r="E214" s="16">
        <v>0.0101</v>
      </c>
      <c r="F214" s="17" t="s">
        <v>706</v>
      </c>
      <c r="G214" s="18" t="s">
        <v>707</v>
      </c>
      <c r="H214" s="17">
        <v>1410</v>
      </c>
      <c r="I214" s="17">
        <v>12</v>
      </c>
      <c r="J214" s="26">
        <v>0.008811911</v>
      </c>
      <c r="K214" s="20">
        <f t="shared" si="6"/>
        <v>-0.001288089</v>
      </c>
      <c r="L214" s="20" t="s">
        <v>314</v>
      </c>
    </row>
    <row r="215" ht="54.75" customHeight="1" spans="1:12">
      <c r="A215" s="14" t="s">
        <v>708</v>
      </c>
      <c r="B215" s="15" t="s">
        <v>709</v>
      </c>
      <c r="C215" s="14">
        <v>1490</v>
      </c>
      <c r="D215" s="14">
        <v>16</v>
      </c>
      <c r="E215" s="16">
        <v>0.0111</v>
      </c>
      <c r="F215" s="17" t="s">
        <v>708</v>
      </c>
      <c r="G215" s="18" t="s">
        <v>709</v>
      </c>
      <c r="H215" s="17">
        <v>1375</v>
      </c>
      <c r="I215" s="17">
        <v>16</v>
      </c>
      <c r="J215" s="19">
        <v>0.011736602</v>
      </c>
      <c r="K215" s="20">
        <f t="shared" si="6"/>
        <v>0.000636602</v>
      </c>
      <c r="L215" s="20"/>
    </row>
    <row r="216" ht="54.75" customHeight="1" spans="1:12">
      <c r="A216" s="14" t="s">
        <v>710</v>
      </c>
      <c r="B216" s="15" t="s">
        <v>711</v>
      </c>
      <c r="C216" s="14">
        <v>1457</v>
      </c>
      <c r="D216" s="14">
        <v>8</v>
      </c>
      <c r="E216" s="16">
        <v>0.0059</v>
      </c>
      <c r="F216" s="17" t="s">
        <v>710</v>
      </c>
      <c r="G216" s="21" t="s">
        <v>119</v>
      </c>
      <c r="H216" s="17">
        <v>1452</v>
      </c>
      <c r="I216" s="17">
        <v>8</v>
      </c>
      <c r="J216" s="26">
        <v>0.006096961</v>
      </c>
      <c r="K216" s="20">
        <f t="shared" si="6"/>
        <v>0.000196961</v>
      </c>
      <c r="L216" s="20" t="s">
        <v>314</v>
      </c>
    </row>
    <row r="217" ht="54.75" customHeight="1" spans="1:12">
      <c r="A217" s="14" t="s">
        <v>712</v>
      </c>
      <c r="B217" s="15" t="s">
        <v>713</v>
      </c>
      <c r="C217" s="14">
        <v>1421</v>
      </c>
      <c r="D217" s="14">
        <v>14</v>
      </c>
      <c r="E217" s="16">
        <v>0.01</v>
      </c>
      <c r="F217" s="17" t="s">
        <v>712</v>
      </c>
      <c r="G217" s="18" t="s">
        <v>713</v>
      </c>
      <c r="H217" s="17">
        <v>1460</v>
      </c>
      <c r="I217" s="17">
        <v>14</v>
      </c>
      <c r="J217" s="19">
        <v>0.01017513</v>
      </c>
      <c r="K217" s="20">
        <f t="shared" si="6"/>
        <v>0.000175129999999999</v>
      </c>
      <c r="L217" s="20"/>
    </row>
    <row r="218" ht="27.75" customHeight="1" spans="1:12">
      <c r="A218" s="14" t="s">
        <v>714</v>
      </c>
      <c r="B218" s="15" t="s">
        <v>715</v>
      </c>
      <c r="C218" s="14">
        <v>1427</v>
      </c>
      <c r="D218" s="14">
        <v>17</v>
      </c>
      <c r="E218" s="16">
        <v>0.012</v>
      </c>
      <c r="F218" s="17" t="s">
        <v>714</v>
      </c>
      <c r="G218" s="18" t="s">
        <v>715</v>
      </c>
      <c r="H218" s="17">
        <v>1483</v>
      </c>
      <c r="I218" s="17">
        <v>16</v>
      </c>
      <c r="J218" s="19">
        <v>0.011071532</v>
      </c>
      <c r="K218" s="20">
        <f t="shared" si="6"/>
        <v>-0.000928468</v>
      </c>
      <c r="L218" s="20"/>
    </row>
    <row r="219" ht="68.25" customHeight="1" spans="1:12">
      <c r="A219" s="14" t="s">
        <v>716</v>
      </c>
      <c r="B219" s="15" t="s">
        <v>717</v>
      </c>
      <c r="C219" s="14">
        <v>1502</v>
      </c>
      <c r="D219" s="14">
        <v>12</v>
      </c>
      <c r="E219" s="16">
        <v>0.0085</v>
      </c>
      <c r="F219" s="17" t="s">
        <v>716</v>
      </c>
      <c r="G219" s="21" t="s">
        <v>120</v>
      </c>
      <c r="H219" s="17">
        <v>1391</v>
      </c>
      <c r="I219" s="17">
        <v>9</v>
      </c>
      <c r="J219" s="26">
        <v>0.006980803</v>
      </c>
      <c r="K219" s="20">
        <f t="shared" si="6"/>
        <v>-0.001519197</v>
      </c>
      <c r="L219" s="20" t="s">
        <v>314</v>
      </c>
    </row>
    <row r="220" ht="41.25" customHeight="1" spans="1:12">
      <c r="A220" s="14" t="s">
        <v>718</v>
      </c>
      <c r="B220" s="15" t="s">
        <v>719</v>
      </c>
      <c r="C220" s="14">
        <v>184</v>
      </c>
      <c r="D220" s="14">
        <v>2</v>
      </c>
      <c r="E220" s="16">
        <v>0.0139</v>
      </c>
      <c r="F220" s="17" t="s">
        <v>718</v>
      </c>
      <c r="G220" s="18" t="s">
        <v>719</v>
      </c>
      <c r="H220" s="17">
        <v>124</v>
      </c>
      <c r="I220" s="17">
        <v>1</v>
      </c>
      <c r="J220" s="19">
        <v>0.013745704</v>
      </c>
      <c r="K220" s="20">
        <f t="shared" si="6"/>
        <v>-0.000154296</v>
      </c>
      <c r="L220" s="20"/>
    </row>
    <row r="221" ht="41.25" customHeight="1" spans="1:12">
      <c r="A221" s="14" t="s">
        <v>720</v>
      </c>
      <c r="B221" s="15" t="s">
        <v>721</v>
      </c>
      <c r="C221" s="14">
        <v>0</v>
      </c>
      <c r="D221" s="14">
        <v>0</v>
      </c>
      <c r="E221" s="14"/>
      <c r="F221" s="17" t="s">
        <v>720</v>
      </c>
      <c r="G221" s="21" t="s">
        <v>722</v>
      </c>
      <c r="H221" s="17"/>
      <c r="I221" s="17"/>
      <c r="J221" s="19"/>
      <c r="K221" s="20"/>
      <c r="L221" s="20"/>
    </row>
    <row r="222" ht="41.25" customHeight="1" spans="1:12">
      <c r="A222" s="14" t="s">
        <v>723</v>
      </c>
      <c r="B222" s="15" t="s">
        <v>724</v>
      </c>
      <c r="C222" s="14">
        <v>1392</v>
      </c>
      <c r="D222" s="14">
        <v>19</v>
      </c>
      <c r="E222" s="16">
        <v>0.0136</v>
      </c>
      <c r="F222" s="17" t="s">
        <v>723</v>
      </c>
      <c r="G222" s="18" t="s">
        <v>724</v>
      </c>
      <c r="H222" s="17"/>
      <c r="I222" s="17"/>
      <c r="J222" s="19"/>
      <c r="K222" s="20"/>
      <c r="L222" s="20"/>
    </row>
    <row r="223" ht="54.75" customHeight="1" spans="1:12">
      <c r="A223" s="14" t="s">
        <v>725</v>
      </c>
      <c r="B223" s="15" t="s">
        <v>726</v>
      </c>
      <c r="C223" s="14">
        <v>1441</v>
      </c>
      <c r="D223" s="14">
        <v>20</v>
      </c>
      <c r="E223" s="16">
        <v>0.0145</v>
      </c>
      <c r="F223" s="17" t="s">
        <v>725</v>
      </c>
      <c r="G223" s="18" t="s">
        <v>726</v>
      </c>
      <c r="H223" s="17">
        <v>1394</v>
      </c>
      <c r="I223" s="17">
        <v>19</v>
      </c>
      <c r="J223" s="19">
        <v>0.013622862</v>
      </c>
      <c r="K223" s="20">
        <f t="shared" ref="K223:K249" si="7">J223-E223</f>
        <v>-0.000877138000000001</v>
      </c>
      <c r="L223" s="20"/>
    </row>
    <row r="224" ht="68.25" customHeight="1" spans="1:12">
      <c r="A224" s="14" t="s">
        <v>727</v>
      </c>
      <c r="B224" s="15" t="s">
        <v>728</v>
      </c>
      <c r="C224" s="14">
        <v>1436</v>
      </c>
      <c r="D224" s="14">
        <v>9</v>
      </c>
      <c r="E224" s="16">
        <v>0.0065</v>
      </c>
      <c r="F224" s="17" t="s">
        <v>727</v>
      </c>
      <c r="G224" s="21" t="s">
        <v>131</v>
      </c>
      <c r="H224" s="17">
        <v>1419</v>
      </c>
      <c r="I224" s="17">
        <v>7</v>
      </c>
      <c r="J224" s="26">
        <v>0.005133367</v>
      </c>
      <c r="K224" s="20">
        <f t="shared" si="7"/>
        <v>-0.001366633</v>
      </c>
      <c r="L224" s="20" t="s">
        <v>314</v>
      </c>
    </row>
    <row r="225" ht="41.25" customHeight="1" spans="1:12">
      <c r="A225" s="14" t="s">
        <v>729</v>
      </c>
      <c r="B225" s="15" t="s">
        <v>730</v>
      </c>
      <c r="C225" s="14">
        <v>107</v>
      </c>
      <c r="D225" s="14">
        <v>1</v>
      </c>
      <c r="E225" s="16">
        <v>0.0133</v>
      </c>
      <c r="F225" s="17" t="s">
        <v>729</v>
      </c>
      <c r="G225" s="18" t="s">
        <v>730</v>
      </c>
      <c r="H225" s="17">
        <v>79</v>
      </c>
      <c r="I225" s="17">
        <v>1</v>
      </c>
      <c r="J225" s="19">
        <v>0.016245487</v>
      </c>
      <c r="K225" s="20">
        <f t="shared" si="7"/>
        <v>0.002945487</v>
      </c>
      <c r="L225" s="20"/>
    </row>
    <row r="226" ht="41.25" customHeight="1" spans="1:12">
      <c r="A226" s="14" t="s">
        <v>731</v>
      </c>
      <c r="B226" s="15" t="s">
        <v>732</v>
      </c>
      <c r="C226" s="14">
        <v>1456</v>
      </c>
      <c r="D226" s="14">
        <v>9</v>
      </c>
      <c r="E226" s="16">
        <v>0.0065</v>
      </c>
      <c r="F226" s="17" t="s">
        <v>731</v>
      </c>
      <c r="G226" s="21" t="s">
        <v>138</v>
      </c>
      <c r="H226" s="17">
        <v>1397</v>
      </c>
      <c r="I226" s="17">
        <v>12</v>
      </c>
      <c r="J226" s="26">
        <v>0.008794355</v>
      </c>
      <c r="K226" s="20">
        <f t="shared" si="7"/>
        <v>0.002294355</v>
      </c>
      <c r="L226" s="20" t="s">
        <v>314</v>
      </c>
    </row>
    <row r="227" ht="27.75" customHeight="1" spans="1:12">
      <c r="A227" s="14" t="s">
        <v>733</v>
      </c>
      <c r="B227" s="15" t="s">
        <v>734</v>
      </c>
      <c r="C227" s="14">
        <v>159</v>
      </c>
      <c r="D227" s="14">
        <v>2</v>
      </c>
      <c r="E227" s="16">
        <v>0.0143</v>
      </c>
      <c r="F227" s="17" t="s">
        <v>733</v>
      </c>
      <c r="G227" s="18" t="s">
        <v>734</v>
      </c>
      <c r="H227" s="17">
        <v>91</v>
      </c>
      <c r="I227" s="17">
        <v>1</v>
      </c>
      <c r="J227" s="19">
        <v>0.018808777</v>
      </c>
      <c r="K227" s="20">
        <f t="shared" si="7"/>
        <v>0.004508777</v>
      </c>
      <c r="L227" s="20"/>
    </row>
    <row r="228" ht="54.75" customHeight="1" spans="1:12">
      <c r="A228" s="14" t="s">
        <v>735</v>
      </c>
      <c r="B228" s="15" t="s">
        <v>736</v>
      </c>
      <c r="C228" s="14">
        <v>1410</v>
      </c>
      <c r="D228" s="14">
        <v>8</v>
      </c>
      <c r="E228" s="16">
        <v>0.0059</v>
      </c>
      <c r="F228" s="17" t="s">
        <v>735</v>
      </c>
      <c r="G228" s="21" t="s">
        <v>139</v>
      </c>
      <c r="H228" s="17">
        <v>1811</v>
      </c>
      <c r="I228" s="17">
        <v>12</v>
      </c>
      <c r="J228" s="26">
        <v>0.007020035</v>
      </c>
      <c r="K228" s="20">
        <f t="shared" si="7"/>
        <v>0.001120035</v>
      </c>
      <c r="L228" s="20" t="s">
        <v>314</v>
      </c>
    </row>
    <row r="229" ht="68.25" customHeight="1" spans="1:12">
      <c r="A229" s="14" t="s">
        <v>737</v>
      </c>
      <c r="B229" s="15" t="s">
        <v>738</v>
      </c>
      <c r="C229" s="14">
        <v>1450</v>
      </c>
      <c r="D229" s="14">
        <v>8</v>
      </c>
      <c r="E229" s="16">
        <v>0.0059</v>
      </c>
      <c r="F229" s="17" t="s">
        <v>737</v>
      </c>
      <c r="G229" s="21" t="s">
        <v>140</v>
      </c>
      <c r="H229" s="17">
        <v>1858</v>
      </c>
      <c r="I229" s="17">
        <v>9</v>
      </c>
      <c r="J229" s="26">
        <v>0.004843918</v>
      </c>
      <c r="K229" s="20">
        <f t="shared" si="7"/>
        <v>-0.001056082</v>
      </c>
      <c r="L229" s="20" t="s">
        <v>314</v>
      </c>
    </row>
    <row r="230" ht="68.25" customHeight="1" spans="1:12">
      <c r="A230" s="14" t="s">
        <v>739</v>
      </c>
      <c r="B230" s="15" t="s">
        <v>740</v>
      </c>
      <c r="C230" s="14">
        <v>1493</v>
      </c>
      <c r="D230" s="14">
        <v>9</v>
      </c>
      <c r="E230" s="16">
        <v>0.006</v>
      </c>
      <c r="F230" s="17" t="s">
        <v>739</v>
      </c>
      <c r="G230" s="21" t="s">
        <v>141</v>
      </c>
      <c r="H230" s="17">
        <v>1978</v>
      </c>
      <c r="I230" s="17">
        <v>11</v>
      </c>
      <c r="J230" s="26">
        <v>0.005704383</v>
      </c>
      <c r="K230" s="20">
        <f t="shared" si="7"/>
        <v>-0.000295617</v>
      </c>
      <c r="L230" s="20" t="s">
        <v>314</v>
      </c>
    </row>
    <row r="231" ht="68.25" customHeight="1" spans="1:12">
      <c r="A231" s="14" t="s">
        <v>741</v>
      </c>
      <c r="B231" s="15" t="s">
        <v>742</v>
      </c>
      <c r="C231" s="14">
        <v>1463</v>
      </c>
      <c r="D231" s="14">
        <v>13</v>
      </c>
      <c r="E231" s="16">
        <v>0.009</v>
      </c>
      <c r="F231" s="17" t="s">
        <v>741</v>
      </c>
      <c r="G231" s="21" t="s">
        <v>142</v>
      </c>
      <c r="H231" s="17">
        <v>1902</v>
      </c>
      <c r="I231" s="17">
        <v>16</v>
      </c>
      <c r="J231" s="26">
        <v>0.008785763</v>
      </c>
      <c r="K231" s="20">
        <f t="shared" si="7"/>
        <v>-0.000214236999999999</v>
      </c>
      <c r="L231" s="20" t="s">
        <v>314</v>
      </c>
    </row>
    <row r="232" ht="41.25" customHeight="1" spans="1:12">
      <c r="A232" s="14" t="s">
        <v>743</v>
      </c>
      <c r="B232" s="15" t="s">
        <v>744</v>
      </c>
      <c r="C232" s="14">
        <v>1457</v>
      </c>
      <c r="D232" s="14">
        <v>20</v>
      </c>
      <c r="E232" s="16">
        <v>0.0143</v>
      </c>
      <c r="F232" s="17" t="s">
        <v>743</v>
      </c>
      <c r="G232" s="18" t="s">
        <v>744</v>
      </c>
      <c r="H232" s="17">
        <v>1961</v>
      </c>
      <c r="I232" s="17">
        <v>27</v>
      </c>
      <c r="J232" s="19">
        <v>0.014058858</v>
      </c>
      <c r="K232" s="20">
        <f t="shared" si="7"/>
        <v>-0.000241142</v>
      </c>
      <c r="L232" s="20"/>
    </row>
    <row r="233" ht="27.75" customHeight="1" spans="1:12">
      <c r="A233" s="14" t="s">
        <v>745</v>
      </c>
      <c r="B233" s="15" t="s">
        <v>746</v>
      </c>
      <c r="C233" s="14">
        <v>221</v>
      </c>
      <c r="D233" s="14">
        <v>3</v>
      </c>
      <c r="E233" s="16">
        <v>0.0148</v>
      </c>
      <c r="F233" s="17" t="s">
        <v>745</v>
      </c>
      <c r="G233" s="18" t="s">
        <v>746</v>
      </c>
      <c r="H233" s="17">
        <v>187</v>
      </c>
      <c r="I233" s="17">
        <v>3</v>
      </c>
      <c r="J233" s="19">
        <v>0.01826484</v>
      </c>
      <c r="K233" s="20">
        <f t="shared" si="7"/>
        <v>0.00346484</v>
      </c>
      <c r="L233" s="20"/>
    </row>
    <row r="234" ht="41.25" customHeight="1" spans="1:12">
      <c r="A234" s="14" t="s">
        <v>747</v>
      </c>
      <c r="B234" s="15" t="s">
        <v>748</v>
      </c>
      <c r="C234" s="3">
        <v>1392</v>
      </c>
      <c r="D234" s="3">
        <v>14</v>
      </c>
      <c r="E234" s="29">
        <v>0.01056627</v>
      </c>
      <c r="F234" s="17" t="s">
        <v>747</v>
      </c>
      <c r="G234" s="21" t="s">
        <v>749</v>
      </c>
      <c r="H234" s="17">
        <v>1454</v>
      </c>
      <c r="I234" s="17">
        <v>7</v>
      </c>
      <c r="J234" s="26">
        <v>0.005107052</v>
      </c>
      <c r="K234" s="27">
        <f t="shared" si="7"/>
        <v>-0.005459218</v>
      </c>
      <c r="L234" s="24" t="s">
        <v>333</v>
      </c>
    </row>
    <row r="235" ht="54.75" customHeight="1" spans="1:12">
      <c r="A235" s="14" t="s">
        <v>750</v>
      </c>
      <c r="B235" s="15" t="s">
        <v>751</v>
      </c>
      <c r="C235" s="14">
        <v>217</v>
      </c>
      <c r="D235" s="14">
        <v>4</v>
      </c>
      <c r="E235" s="16">
        <v>0.0197</v>
      </c>
      <c r="F235" s="17" t="s">
        <v>750</v>
      </c>
      <c r="G235" s="18" t="s">
        <v>751</v>
      </c>
      <c r="H235" s="17">
        <v>139</v>
      </c>
      <c r="I235" s="17">
        <v>2</v>
      </c>
      <c r="J235" s="19">
        <v>0.019407559</v>
      </c>
      <c r="K235" s="20">
        <f t="shared" si="7"/>
        <v>-0.000292440999999997</v>
      </c>
      <c r="L235" s="20"/>
    </row>
    <row r="236" ht="68.25" customHeight="1" spans="1:12">
      <c r="A236" s="14" t="s">
        <v>752</v>
      </c>
      <c r="B236" s="15" t="s">
        <v>753</v>
      </c>
      <c r="C236" s="14">
        <v>1422</v>
      </c>
      <c r="D236" s="14">
        <v>12</v>
      </c>
      <c r="E236" s="16">
        <v>0.0084</v>
      </c>
      <c r="F236" s="17" t="s">
        <v>752</v>
      </c>
      <c r="G236" s="21" t="s">
        <v>127</v>
      </c>
      <c r="H236" s="17">
        <v>1432</v>
      </c>
      <c r="I236" s="17">
        <v>8</v>
      </c>
      <c r="J236" s="26">
        <v>0.005985634</v>
      </c>
      <c r="K236" s="20">
        <f t="shared" si="7"/>
        <v>-0.002414366</v>
      </c>
      <c r="L236" s="20" t="s">
        <v>314</v>
      </c>
    </row>
    <row r="237" ht="68.25" customHeight="1" spans="1:12">
      <c r="A237" s="14" t="s">
        <v>754</v>
      </c>
      <c r="B237" s="15" t="s">
        <v>755</v>
      </c>
      <c r="C237" s="14">
        <v>1423</v>
      </c>
      <c r="D237" s="14">
        <v>6</v>
      </c>
      <c r="E237" s="16">
        <v>0.0046</v>
      </c>
      <c r="F237" s="17" t="s">
        <v>754</v>
      </c>
      <c r="G237" s="21" t="s">
        <v>128</v>
      </c>
      <c r="H237" s="17">
        <v>1440</v>
      </c>
      <c r="I237" s="17">
        <v>6</v>
      </c>
      <c r="J237" s="26">
        <v>0.004164188</v>
      </c>
      <c r="K237" s="20">
        <f t="shared" si="7"/>
        <v>-0.000435812</v>
      </c>
      <c r="L237" s="20" t="s">
        <v>314</v>
      </c>
    </row>
    <row r="238" ht="68.25" customHeight="1" spans="1:12">
      <c r="A238" s="14" t="s">
        <v>756</v>
      </c>
      <c r="B238" s="15" t="s">
        <v>757</v>
      </c>
      <c r="C238" s="14">
        <v>1510</v>
      </c>
      <c r="D238" s="14">
        <v>13</v>
      </c>
      <c r="E238" s="16">
        <v>0.0091</v>
      </c>
      <c r="F238" s="17" t="s">
        <v>756</v>
      </c>
      <c r="G238" s="21" t="s">
        <v>129</v>
      </c>
      <c r="H238" s="17">
        <v>1428</v>
      </c>
      <c r="I238" s="17">
        <v>8</v>
      </c>
      <c r="J238" s="26">
        <v>0.0058</v>
      </c>
      <c r="K238" s="20">
        <f t="shared" si="7"/>
        <v>-0.0033</v>
      </c>
      <c r="L238" s="20" t="s">
        <v>314</v>
      </c>
    </row>
    <row r="239" ht="41.25" customHeight="1" spans="1:12">
      <c r="A239" s="14" t="s">
        <v>758</v>
      </c>
      <c r="B239" s="15" t="s">
        <v>759</v>
      </c>
      <c r="C239" s="14">
        <v>170</v>
      </c>
      <c r="D239" s="14">
        <v>3</v>
      </c>
      <c r="E239" s="16">
        <v>0.0201</v>
      </c>
      <c r="F239" s="17" t="s">
        <v>758</v>
      </c>
      <c r="G239" s="18" t="s">
        <v>759</v>
      </c>
      <c r="H239" s="17">
        <v>90</v>
      </c>
      <c r="I239" s="17">
        <v>2</v>
      </c>
      <c r="J239" s="19">
        <v>0.02681388</v>
      </c>
      <c r="K239" s="20">
        <f t="shared" si="7"/>
        <v>0.00671388</v>
      </c>
      <c r="L239" s="20"/>
    </row>
    <row r="240" ht="68.25" customHeight="1" spans="1:12">
      <c r="A240" s="14" t="s">
        <v>760</v>
      </c>
      <c r="B240" s="15" t="s">
        <v>761</v>
      </c>
      <c r="C240" s="14">
        <v>1450</v>
      </c>
      <c r="D240" s="14">
        <v>9</v>
      </c>
      <c r="E240" s="16">
        <v>0.0065</v>
      </c>
      <c r="F240" s="17" t="s">
        <v>760</v>
      </c>
      <c r="G240" s="21" t="s">
        <v>130</v>
      </c>
      <c r="H240" s="17">
        <v>1435</v>
      </c>
      <c r="I240" s="17">
        <v>8</v>
      </c>
      <c r="J240" s="26">
        <v>0.005871231</v>
      </c>
      <c r="K240" s="20">
        <f t="shared" si="7"/>
        <v>-0.000628769</v>
      </c>
      <c r="L240" s="20" t="s">
        <v>314</v>
      </c>
    </row>
    <row r="241" ht="41.25" customHeight="1" spans="1:12">
      <c r="A241" s="14" t="s">
        <v>762</v>
      </c>
      <c r="B241" s="15" t="s">
        <v>763</v>
      </c>
      <c r="C241" s="14">
        <v>1453</v>
      </c>
      <c r="D241" s="14">
        <v>19</v>
      </c>
      <c r="E241" s="16">
        <v>0.0134</v>
      </c>
      <c r="F241" s="17" t="s">
        <v>762</v>
      </c>
      <c r="G241" s="18" t="s">
        <v>763</v>
      </c>
      <c r="H241" s="17">
        <v>1424</v>
      </c>
      <c r="I241" s="17">
        <v>19</v>
      </c>
      <c r="J241" s="19">
        <v>0.013535191</v>
      </c>
      <c r="K241" s="20">
        <f t="shared" si="7"/>
        <v>0.000135191</v>
      </c>
      <c r="L241" s="20"/>
    </row>
    <row r="242" ht="68.25" customHeight="1" spans="1:12">
      <c r="A242" s="14" t="s">
        <v>764</v>
      </c>
      <c r="B242" s="15" t="s">
        <v>765</v>
      </c>
      <c r="C242" s="14">
        <v>1504</v>
      </c>
      <c r="D242" s="14">
        <v>8</v>
      </c>
      <c r="E242" s="16">
        <v>0.0055</v>
      </c>
      <c r="F242" s="17" t="s">
        <v>764</v>
      </c>
      <c r="G242" s="21" t="s">
        <v>132</v>
      </c>
      <c r="H242" s="17">
        <v>1437</v>
      </c>
      <c r="I242" s="17">
        <v>8</v>
      </c>
      <c r="J242" s="26">
        <v>0.006060606</v>
      </c>
      <c r="K242" s="20">
        <f t="shared" si="7"/>
        <v>0.000560606</v>
      </c>
      <c r="L242" s="20" t="s">
        <v>314</v>
      </c>
    </row>
    <row r="243" ht="68.25" customHeight="1" spans="1:12">
      <c r="A243" s="14" t="s">
        <v>766</v>
      </c>
      <c r="B243" s="15" t="s">
        <v>767</v>
      </c>
      <c r="C243" s="14">
        <v>1469</v>
      </c>
      <c r="D243" s="14">
        <v>16</v>
      </c>
      <c r="E243" s="16">
        <v>0.0109</v>
      </c>
      <c r="F243" s="17" t="s">
        <v>766</v>
      </c>
      <c r="G243" s="21" t="s">
        <v>133</v>
      </c>
      <c r="H243" s="17">
        <v>1395</v>
      </c>
      <c r="I243" s="17">
        <v>7</v>
      </c>
      <c r="J243" s="26">
        <v>0.00552769</v>
      </c>
      <c r="K243" s="27">
        <f t="shared" si="7"/>
        <v>-0.00537231</v>
      </c>
      <c r="L243" s="24" t="s">
        <v>333</v>
      </c>
    </row>
    <row r="244" ht="41.25" customHeight="1" spans="1:12">
      <c r="A244" s="14" t="s">
        <v>768</v>
      </c>
      <c r="B244" s="15" t="s">
        <v>769</v>
      </c>
      <c r="C244" s="14">
        <v>1414</v>
      </c>
      <c r="D244" s="14">
        <v>17</v>
      </c>
      <c r="E244" s="16">
        <v>0.0125</v>
      </c>
      <c r="F244" s="17" t="s">
        <v>768</v>
      </c>
      <c r="G244" s="18" t="s">
        <v>769</v>
      </c>
      <c r="H244" s="17">
        <v>1419</v>
      </c>
      <c r="I244" s="17">
        <v>17</v>
      </c>
      <c r="J244" s="19">
        <v>0.012176713</v>
      </c>
      <c r="K244" s="20">
        <f t="shared" si="7"/>
        <v>-0.000323287</v>
      </c>
      <c r="L244" s="20"/>
    </row>
    <row r="245" ht="41.25" customHeight="1" spans="1:12">
      <c r="A245" s="14" t="s">
        <v>770</v>
      </c>
      <c r="B245" s="15" t="s">
        <v>771</v>
      </c>
      <c r="C245" s="14">
        <v>1330</v>
      </c>
      <c r="D245" s="14">
        <v>11</v>
      </c>
      <c r="E245" s="16">
        <v>0.0088</v>
      </c>
      <c r="F245" s="17" t="s">
        <v>770</v>
      </c>
      <c r="G245" s="21" t="s">
        <v>134</v>
      </c>
      <c r="H245" s="17">
        <v>1449</v>
      </c>
      <c r="I245" s="17">
        <v>20</v>
      </c>
      <c r="J245" s="19">
        <v>0.014090058</v>
      </c>
      <c r="K245" s="20">
        <f t="shared" si="7"/>
        <v>0.005290058</v>
      </c>
      <c r="L245" s="20"/>
    </row>
    <row r="246" ht="41.25" customHeight="1" spans="1:12">
      <c r="A246" s="14" t="s">
        <v>772</v>
      </c>
      <c r="B246" s="15" t="s">
        <v>773</v>
      </c>
      <c r="C246" s="14">
        <v>531</v>
      </c>
      <c r="D246" s="14">
        <v>9</v>
      </c>
      <c r="E246" s="16">
        <v>0.0173</v>
      </c>
      <c r="F246" s="17" t="s">
        <v>772</v>
      </c>
      <c r="G246" s="18" t="s">
        <v>773</v>
      </c>
      <c r="H246" s="17">
        <v>659</v>
      </c>
      <c r="I246" s="17">
        <v>11</v>
      </c>
      <c r="J246" s="19">
        <v>0.01668834</v>
      </c>
      <c r="K246" s="20">
        <f t="shared" si="7"/>
        <v>-0.00061166</v>
      </c>
      <c r="L246" s="20"/>
    </row>
    <row r="247" ht="54.75" customHeight="1" spans="1:12">
      <c r="A247" s="14" t="s">
        <v>774</v>
      </c>
      <c r="B247" s="15" t="s">
        <v>775</v>
      </c>
      <c r="C247" s="14">
        <v>1420</v>
      </c>
      <c r="D247" s="14">
        <v>16</v>
      </c>
      <c r="E247" s="16">
        <v>0.0114</v>
      </c>
      <c r="F247" s="17" t="s">
        <v>774</v>
      </c>
      <c r="G247" s="18" t="s">
        <v>775</v>
      </c>
      <c r="H247" s="17">
        <v>1386</v>
      </c>
      <c r="I247" s="17">
        <v>18</v>
      </c>
      <c r="J247" s="19">
        <v>0.012984336</v>
      </c>
      <c r="K247" s="20">
        <f t="shared" si="7"/>
        <v>0.001584336</v>
      </c>
      <c r="L247" s="20"/>
    </row>
    <row r="248" ht="68.25" customHeight="1" spans="1:12">
      <c r="A248" s="14" t="s">
        <v>776</v>
      </c>
      <c r="B248" s="15" t="s">
        <v>777</v>
      </c>
      <c r="C248" s="14">
        <v>1438</v>
      </c>
      <c r="D248" s="14">
        <v>10</v>
      </c>
      <c r="E248" s="16">
        <v>0.007</v>
      </c>
      <c r="F248" s="17" t="s">
        <v>776</v>
      </c>
      <c r="G248" s="21" t="s">
        <v>135</v>
      </c>
      <c r="H248" s="17">
        <v>1393</v>
      </c>
      <c r="I248" s="17">
        <v>8</v>
      </c>
      <c r="J248" s="26">
        <v>0.00604756</v>
      </c>
      <c r="K248" s="20">
        <f t="shared" si="7"/>
        <v>-0.000952440000000001</v>
      </c>
      <c r="L248" s="20" t="s">
        <v>314</v>
      </c>
    </row>
    <row r="249" ht="41.25" customHeight="1" spans="1:12">
      <c r="A249" s="14" t="s">
        <v>778</v>
      </c>
      <c r="B249" s="15" t="s">
        <v>779</v>
      </c>
      <c r="C249" s="14">
        <v>1296</v>
      </c>
      <c r="D249" s="14">
        <v>8</v>
      </c>
      <c r="E249" s="16">
        <v>0.0066</v>
      </c>
      <c r="F249" s="17" t="s">
        <v>778</v>
      </c>
      <c r="G249" s="21" t="s">
        <v>136</v>
      </c>
      <c r="H249" s="17">
        <v>1365</v>
      </c>
      <c r="I249" s="17">
        <v>9</v>
      </c>
      <c r="J249" s="26">
        <v>0.007011302</v>
      </c>
      <c r="K249" s="20">
        <f t="shared" si="7"/>
        <v>0.000411302</v>
      </c>
      <c r="L249" s="20" t="s">
        <v>314</v>
      </c>
    </row>
    <row r="250" ht="41.25" customHeight="1" spans="1:12">
      <c r="A250" s="14" t="s">
        <v>780</v>
      </c>
      <c r="B250" s="15" t="s">
        <v>781</v>
      </c>
      <c r="C250" s="14">
        <v>1431</v>
      </c>
      <c r="D250" s="14">
        <v>7</v>
      </c>
      <c r="E250" s="16">
        <v>0.0055</v>
      </c>
      <c r="F250" s="17" t="s">
        <v>780</v>
      </c>
      <c r="G250" s="18" t="s">
        <v>137</v>
      </c>
      <c r="H250" s="17"/>
      <c r="I250" s="17"/>
      <c r="J250" s="19"/>
      <c r="K250" s="20"/>
      <c r="L250" s="20"/>
    </row>
    <row r="251" ht="41.25" customHeight="1" spans="1:12">
      <c r="A251" s="14" t="s">
        <v>782</v>
      </c>
      <c r="B251" s="15" t="s">
        <v>783</v>
      </c>
      <c r="C251" s="14">
        <v>1509</v>
      </c>
      <c r="D251" s="14">
        <v>23</v>
      </c>
      <c r="E251" s="16">
        <v>0.0153</v>
      </c>
      <c r="F251" s="17" t="s">
        <v>782</v>
      </c>
      <c r="G251" s="18" t="s">
        <v>783</v>
      </c>
      <c r="H251" s="17">
        <v>1396</v>
      </c>
      <c r="I251" s="17">
        <v>20</v>
      </c>
      <c r="J251" s="19">
        <v>0.014424552</v>
      </c>
      <c r="K251" s="20">
        <f t="shared" ref="K251:K268" si="8">J251-E251</f>
        <v>-0.000875447999999999</v>
      </c>
      <c r="L251" s="20"/>
    </row>
    <row r="252" ht="41.25" customHeight="1" spans="1:12">
      <c r="A252" s="14" t="s">
        <v>784</v>
      </c>
      <c r="B252" s="15" t="s">
        <v>785</v>
      </c>
      <c r="C252" s="14">
        <v>76</v>
      </c>
      <c r="D252" s="14">
        <v>2</v>
      </c>
      <c r="E252" s="16">
        <v>0.0338</v>
      </c>
      <c r="F252" s="17" t="s">
        <v>784</v>
      </c>
      <c r="G252" s="18" t="s">
        <v>785</v>
      </c>
      <c r="H252" s="17">
        <v>158</v>
      </c>
      <c r="I252" s="17">
        <v>4</v>
      </c>
      <c r="J252" s="19">
        <v>0.025247971</v>
      </c>
      <c r="K252" s="25">
        <f t="shared" si="8"/>
        <v>-0.008552029</v>
      </c>
      <c r="L252" s="28"/>
    </row>
    <row r="253" ht="54.75" customHeight="1" spans="1:12">
      <c r="A253" s="14" t="s">
        <v>786</v>
      </c>
      <c r="B253" s="15" t="s">
        <v>787</v>
      </c>
      <c r="C253" s="14">
        <v>1527</v>
      </c>
      <c r="D253" s="14">
        <v>13</v>
      </c>
      <c r="E253" s="16">
        <v>0.009</v>
      </c>
      <c r="F253" s="17" t="s">
        <v>786</v>
      </c>
      <c r="G253" s="21" t="s">
        <v>149</v>
      </c>
      <c r="H253" s="17">
        <v>1368</v>
      </c>
      <c r="I253" s="17">
        <v>8</v>
      </c>
      <c r="J253" s="26">
        <v>0.006262394</v>
      </c>
      <c r="K253" s="20">
        <f t="shared" si="8"/>
        <v>-0.002737606</v>
      </c>
      <c r="L253" s="20" t="s">
        <v>314</v>
      </c>
    </row>
    <row r="254" ht="27.75" customHeight="1" spans="1:12">
      <c r="A254" s="14" t="s">
        <v>788</v>
      </c>
      <c r="B254" s="15" t="s">
        <v>789</v>
      </c>
      <c r="C254" s="14">
        <v>102</v>
      </c>
      <c r="D254" s="14">
        <v>2</v>
      </c>
      <c r="E254" s="16">
        <v>0.0251</v>
      </c>
      <c r="F254" s="17" t="s">
        <v>788</v>
      </c>
      <c r="G254" s="18" t="s">
        <v>789</v>
      </c>
      <c r="H254" s="17">
        <v>244</v>
      </c>
      <c r="I254" s="17">
        <v>4</v>
      </c>
      <c r="J254" s="19">
        <v>0.016929364</v>
      </c>
      <c r="K254" s="25">
        <f t="shared" si="8"/>
        <v>-0.008170636</v>
      </c>
      <c r="L254" s="28"/>
    </row>
    <row r="255" ht="54.75" customHeight="1" spans="1:12">
      <c r="A255" s="14" t="s">
        <v>790</v>
      </c>
      <c r="B255" s="15" t="s">
        <v>791</v>
      </c>
      <c r="C255" s="14">
        <v>1462</v>
      </c>
      <c r="D255" s="14">
        <v>9</v>
      </c>
      <c r="E255" s="16">
        <v>0.0067</v>
      </c>
      <c r="F255" s="17" t="s">
        <v>790</v>
      </c>
      <c r="G255" s="21" t="s">
        <v>150</v>
      </c>
      <c r="H255" s="17">
        <v>2055</v>
      </c>
      <c r="I255" s="17">
        <v>17</v>
      </c>
      <c r="J255" s="26">
        <v>0.008410955</v>
      </c>
      <c r="K255" s="20">
        <f t="shared" si="8"/>
        <v>0.001710955</v>
      </c>
      <c r="L255" s="20" t="s">
        <v>314</v>
      </c>
    </row>
    <row r="256" ht="68.25" customHeight="1" spans="1:12">
      <c r="A256" s="14" t="s">
        <v>792</v>
      </c>
      <c r="B256" s="15" t="s">
        <v>793</v>
      </c>
      <c r="C256" s="14">
        <v>1423</v>
      </c>
      <c r="D256" s="14">
        <v>11</v>
      </c>
      <c r="E256" s="16">
        <v>0.0083</v>
      </c>
      <c r="F256" s="17" t="s">
        <v>792</v>
      </c>
      <c r="G256" s="21" t="s">
        <v>151</v>
      </c>
      <c r="H256" s="17">
        <v>1991</v>
      </c>
      <c r="I256" s="17">
        <v>9</v>
      </c>
      <c r="J256" s="26">
        <v>0.004519045</v>
      </c>
      <c r="K256" s="20">
        <f t="shared" si="8"/>
        <v>-0.003780955</v>
      </c>
      <c r="L256" s="20" t="s">
        <v>314</v>
      </c>
    </row>
    <row r="257" ht="68.25" customHeight="1" spans="1:12">
      <c r="A257" s="14" t="s">
        <v>794</v>
      </c>
      <c r="B257" s="15" t="s">
        <v>795</v>
      </c>
      <c r="C257" s="14">
        <v>1423</v>
      </c>
      <c r="D257" s="14">
        <v>7</v>
      </c>
      <c r="E257" s="16">
        <v>0.0049</v>
      </c>
      <c r="F257" s="17" t="s">
        <v>794</v>
      </c>
      <c r="G257" s="21" t="s">
        <v>152</v>
      </c>
      <c r="H257" s="17">
        <v>1981</v>
      </c>
      <c r="I257" s="17">
        <v>8</v>
      </c>
      <c r="J257" s="26">
        <v>0.004036909</v>
      </c>
      <c r="K257" s="20">
        <f t="shared" si="8"/>
        <v>-0.000863091</v>
      </c>
      <c r="L257" s="20" t="s">
        <v>314</v>
      </c>
    </row>
    <row r="258" ht="54.75" customHeight="1" spans="1:12">
      <c r="A258" s="14" t="s">
        <v>796</v>
      </c>
      <c r="B258" s="15" t="s">
        <v>797</v>
      </c>
      <c r="C258" s="14">
        <v>1497</v>
      </c>
      <c r="D258" s="14">
        <v>9</v>
      </c>
      <c r="E258" s="16">
        <v>0.0066</v>
      </c>
      <c r="F258" s="17" t="s">
        <v>796</v>
      </c>
      <c r="G258" s="21" t="s">
        <v>153</v>
      </c>
      <c r="H258" s="17">
        <v>1876</v>
      </c>
      <c r="I258" s="17">
        <v>9</v>
      </c>
      <c r="J258" s="26">
        <v>0.005177796</v>
      </c>
      <c r="K258" s="20">
        <f t="shared" si="8"/>
        <v>-0.001422204</v>
      </c>
      <c r="L258" s="20" t="s">
        <v>314</v>
      </c>
    </row>
    <row r="259" ht="54.75" customHeight="1" spans="1:12">
      <c r="A259" s="14" t="s">
        <v>798</v>
      </c>
      <c r="B259" s="15" t="s">
        <v>799</v>
      </c>
      <c r="C259" s="14">
        <v>1555</v>
      </c>
      <c r="D259" s="14">
        <v>10</v>
      </c>
      <c r="E259" s="16">
        <v>0.0067</v>
      </c>
      <c r="F259" s="17" t="s">
        <v>798</v>
      </c>
      <c r="G259" s="21" t="s">
        <v>143</v>
      </c>
      <c r="H259" s="17">
        <v>1914</v>
      </c>
      <c r="I259" s="17">
        <v>13</v>
      </c>
      <c r="J259" s="26">
        <v>0.006789525</v>
      </c>
      <c r="K259" s="20">
        <f t="shared" si="8"/>
        <v>8.9525e-5</v>
      </c>
      <c r="L259" s="20" t="s">
        <v>314</v>
      </c>
    </row>
    <row r="260" ht="41.25" customHeight="1" spans="1:12">
      <c r="A260" s="14" t="s">
        <v>800</v>
      </c>
      <c r="B260" s="15" t="s">
        <v>601</v>
      </c>
      <c r="C260" s="14">
        <v>1403</v>
      </c>
      <c r="D260" s="14">
        <v>18</v>
      </c>
      <c r="E260" s="16">
        <v>0.013</v>
      </c>
      <c r="F260" s="17" t="s">
        <v>800</v>
      </c>
      <c r="G260" s="18" t="s">
        <v>601</v>
      </c>
      <c r="H260" s="17">
        <v>1257</v>
      </c>
      <c r="I260" s="17">
        <v>16</v>
      </c>
      <c r="J260" s="19">
        <v>0.013290924</v>
      </c>
      <c r="K260" s="20">
        <f t="shared" si="8"/>
        <v>0.000290924000000001</v>
      </c>
      <c r="L260" s="20"/>
    </row>
    <row r="261" ht="41.25" customHeight="1" spans="1:12">
      <c r="A261" s="14" t="s">
        <v>801</v>
      </c>
      <c r="B261" s="15" t="s">
        <v>802</v>
      </c>
      <c r="C261" s="14">
        <v>205</v>
      </c>
      <c r="D261" s="14">
        <v>3</v>
      </c>
      <c r="E261" s="16">
        <v>0.0167</v>
      </c>
      <c r="F261" s="17" t="s">
        <v>801</v>
      </c>
      <c r="G261" s="18" t="s">
        <v>802</v>
      </c>
      <c r="H261" s="17">
        <v>563</v>
      </c>
      <c r="I261" s="17">
        <v>6</v>
      </c>
      <c r="J261" s="19">
        <v>0.01064369</v>
      </c>
      <c r="K261" s="25">
        <f t="shared" si="8"/>
        <v>-0.00605631</v>
      </c>
      <c r="L261" s="28"/>
    </row>
    <row r="262" ht="68.25" customHeight="1" spans="1:12">
      <c r="A262" s="14" t="s">
        <v>803</v>
      </c>
      <c r="B262" s="15" t="s">
        <v>804</v>
      </c>
      <c r="C262" s="14">
        <v>1393</v>
      </c>
      <c r="D262" s="14">
        <v>7</v>
      </c>
      <c r="E262" s="16">
        <v>0.0056</v>
      </c>
      <c r="F262" s="17" t="s">
        <v>803</v>
      </c>
      <c r="G262" s="21" t="s">
        <v>144</v>
      </c>
      <c r="H262" s="17">
        <v>1428</v>
      </c>
      <c r="I262" s="17">
        <v>6</v>
      </c>
      <c r="J262" s="26">
        <v>0.00419916</v>
      </c>
      <c r="K262" s="20">
        <f t="shared" si="8"/>
        <v>-0.00140084</v>
      </c>
      <c r="L262" s="20" t="s">
        <v>314</v>
      </c>
    </row>
    <row r="263" ht="41.25" customHeight="1" spans="1:12">
      <c r="A263" s="14" t="s">
        <v>805</v>
      </c>
      <c r="B263" s="15" t="s">
        <v>806</v>
      </c>
      <c r="C263" s="14">
        <v>197</v>
      </c>
      <c r="D263" s="14">
        <v>4</v>
      </c>
      <c r="E263" s="16">
        <v>0.0209</v>
      </c>
      <c r="F263" s="17" t="s">
        <v>805</v>
      </c>
      <c r="G263" s="18" t="s">
        <v>806</v>
      </c>
      <c r="H263" s="17">
        <v>537</v>
      </c>
      <c r="I263" s="17">
        <v>8</v>
      </c>
      <c r="J263" s="19">
        <v>0.016201859</v>
      </c>
      <c r="K263" s="20">
        <f t="shared" si="8"/>
        <v>-0.004698141</v>
      </c>
      <c r="L263" s="20"/>
    </row>
    <row r="264" ht="54.75" customHeight="1" spans="1:12">
      <c r="A264" s="14" t="s">
        <v>807</v>
      </c>
      <c r="B264" s="15" t="s">
        <v>808</v>
      </c>
      <c r="C264" s="14">
        <v>1434</v>
      </c>
      <c r="D264" s="14">
        <v>6</v>
      </c>
      <c r="E264" s="16">
        <v>0.0045</v>
      </c>
      <c r="F264" s="17" t="s">
        <v>807</v>
      </c>
      <c r="G264" s="18" t="s">
        <v>145</v>
      </c>
      <c r="H264" s="17">
        <v>1411</v>
      </c>
      <c r="I264" s="17">
        <v>6</v>
      </c>
      <c r="J264" s="26">
        <v>0.004251873</v>
      </c>
      <c r="K264" s="20">
        <f t="shared" si="8"/>
        <v>-0.000248127</v>
      </c>
      <c r="L264" s="20" t="s">
        <v>314</v>
      </c>
    </row>
    <row r="265" ht="41.25" customHeight="1" spans="1:12">
      <c r="A265" s="14" t="s">
        <v>809</v>
      </c>
      <c r="B265" s="15" t="s">
        <v>810</v>
      </c>
      <c r="C265" s="14">
        <v>188</v>
      </c>
      <c r="D265" s="14">
        <v>3</v>
      </c>
      <c r="E265" s="16">
        <v>0.0197</v>
      </c>
      <c r="F265" s="17" t="s">
        <v>809</v>
      </c>
      <c r="G265" s="18" t="s">
        <v>810</v>
      </c>
      <c r="H265" s="17">
        <v>561</v>
      </c>
      <c r="I265" s="17">
        <v>10</v>
      </c>
      <c r="J265" s="19">
        <v>0.018306636</v>
      </c>
      <c r="K265" s="20">
        <f t="shared" si="8"/>
        <v>-0.001393364</v>
      </c>
      <c r="L265" s="20"/>
    </row>
    <row r="266" ht="41.25" customHeight="1" spans="1:12">
      <c r="A266" s="14" t="s">
        <v>811</v>
      </c>
      <c r="B266" s="15" t="s">
        <v>812</v>
      </c>
      <c r="C266" s="14">
        <v>1427</v>
      </c>
      <c r="D266" s="14">
        <v>19</v>
      </c>
      <c r="E266" s="16">
        <v>0.0137</v>
      </c>
      <c r="F266" s="17" t="s">
        <v>811</v>
      </c>
      <c r="G266" s="18" t="s">
        <v>812</v>
      </c>
      <c r="H266" s="17">
        <v>1364</v>
      </c>
      <c r="I266" s="17">
        <v>17</v>
      </c>
      <c r="J266" s="19">
        <v>0.01266883</v>
      </c>
      <c r="K266" s="20">
        <f t="shared" si="8"/>
        <v>-0.00103117</v>
      </c>
      <c r="L266" s="20"/>
    </row>
    <row r="267" ht="54.75" customHeight="1" spans="1:12">
      <c r="A267" s="14" t="s">
        <v>813</v>
      </c>
      <c r="B267" s="15" t="s">
        <v>814</v>
      </c>
      <c r="C267" s="14">
        <v>1581</v>
      </c>
      <c r="D267" s="14">
        <v>13</v>
      </c>
      <c r="E267" s="16">
        <v>0.0087</v>
      </c>
      <c r="F267" s="17" t="s">
        <v>813</v>
      </c>
      <c r="G267" s="21" t="s">
        <v>146</v>
      </c>
      <c r="H267" s="17">
        <v>1041</v>
      </c>
      <c r="I267" s="17">
        <v>4</v>
      </c>
      <c r="J267" s="26">
        <v>0.004252984</v>
      </c>
      <c r="K267" s="20">
        <f t="shared" si="8"/>
        <v>-0.004447016</v>
      </c>
      <c r="L267" s="20" t="s">
        <v>314</v>
      </c>
    </row>
    <row r="268" ht="41.25" customHeight="1" spans="1:12">
      <c r="A268" s="14" t="s">
        <v>815</v>
      </c>
      <c r="B268" s="15" t="s">
        <v>816</v>
      </c>
      <c r="C268" s="14">
        <v>1598</v>
      </c>
      <c r="D268" s="14">
        <v>9</v>
      </c>
      <c r="E268" s="16">
        <v>0.0057</v>
      </c>
      <c r="F268" s="17" t="s">
        <v>815</v>
      </c>
      <c r="G268" s="21" t="s">
        <v>147</v>
      </c>
      <c r="H268" s="17">
        <v>1357</v>
      </c>
      <c r="I268" s="17">
        <v>6</v>
      </c>
      <c r="J268" s="26">
        <v>0.004419192</v>
      </c>
      <c r="K268" s="20">
        <f t="shared" si="8"/>
        <v>-0.001280808</v>
      </c>
      <c r="L268" s="20" t="s">
        <v>314</v>
      </c>
    </row>
    <row r="269" ht="54.75" customHeight="1" spans="1:12">
      <c r="A269" s="14" t="s">
        <v>817</v>
      </c>
      <c r="B269" s="15" t="s">
        <v>818</v>
      </c>
      <c r="C269" s="14">
        <v>842</v>
      </c>
      <c r="D269" s="14">
        <v>9</v>
      </c>
      <c r="E269" s="16">
        <v>0.0114</v>
      </c>
      <c r="F269" s="17" t="s">
        <v>817</v>
      </c>
      <c r="G269" s="18" t="s">
        <v>148</v>
      </c>
      <c r="H269" s="17"/>
      <c r="I269" s="17"/>
      <c r="J269" s="19"/>
      <c r="K269" s="20"/>
      <c r="L269" s="20"/>
    </row>
    <row r="270" ht="54.75" customHeight="1" spans="1:12">
      <c r="A270" s="14" t="s">
        <v>819</v>
      </c>
      <c r="B270" s="15" t="s">
        <v>820</v>
      </c>
      <c r="C270" s="14">
        <v>1572</v>
      </c>
      <c r="D270" s="14">
        <v>16</v>
      </c>
      <c r="E270" s="16">
        <v>0.0107</v>
      </c>
      <c r="F270" s="17" t="s">
        <v>819</v>
      </c>
      <c r="G270" s="18" t="s">
        <v>820</v>
      </c>
      <c r="H270" s="17">
        <v>1371</v>
      </c>
      <c r="I270" s="17">
        <v>17</v>
      </c>
      <c r="J270" s="19">
        <v>0.012813835</v>
      </c>
      <c r="K270" s="20">
        <f t="shared" ref="K270:K289" si="9">J270-E270</f>
        <v>0.002113835</v>
      </c>
      <c r="L270" s="20"/>
    </row>
    <row r="271" ht="41.25" customHeight="1" spans="1:12">
      <c r="A271" s="14" t="s">
        <v>821</v>
      </c>
      <c r="B271" s="15" t="s">
        <v>822</v>
      </c>
      <c r="C271" s="14">
        <v>1508</v>
      </c>
      <c r="D271" s="14">
        <v>15</v>
      </c>
      <c r="E271" s="16">
        <v>0.0099</v>
      </c>
      <c r="F271" s="17" t="s">
        <v>821</v>
      </c>
      <c r="G271" s="21" t="s">
        <v>25</v>
      </c>
      <c r="H271" s="17">
        <v>1380</v>
      </c>
      <c r="I271" s="17">
        <v>11</v>
      </c>
      <c r="J271" s="26">
        <v>0.008385093</v>
      </c>
      <c r="K271" s="20">
        <f t="shared" si="9"/>
        <v>-0.001514907</v>
      </c>
      <c r="L271" s="20" t="s">
        <v>314</v>
      </c>
    </row>
    <row r="272" ht="54.75" customHeight="1" spans="1:12">
      <c r="A272" s="14" t="s">
        <v>823</v>
      </c>
      <c r="B272" s="15" t="s">
        <v>824</v>
      </c>
      <c r="C272" s="14">
        <v>201</v>
      </c>
      <c r="D272" s="14">
        <v>1</v>
      </c>
      <c r="E272" s="16">
        <v>0.0092</v>
      </c>
      <c r="F272" s="17" t="s">
        <v>823</v>
      </c>
      <c r="G272" s="18" t="s">
        <v>824</v>
      </c>
      <c r="H272" s="17">
        <v>567</v>
      </c>
      <c r="I272" s="17">
        <v>5</v>
      </c>
      <c r="J272" s="26">
        <v>0.009564561</v>
      </c>
      <c r="K272" s="20">
        <f t="shared" si="9"/>
        <v>0.000364560999999999</v>
      </c>
      <c r="L272" s="20" t="s">
        <v>314</v>
      </c>
    </row>
    <row r="273" ht="41.25" customHeight="1" spans="1:12">
      <c r="A273" s="14" t="s">
        <v>825</v>
      </c>
      <c r="B273" s="15" t="s">
        <v>826</v>
      </c>
      <c r="C273" s="14">
        <v>1569</v>
      </c>
      <c r="D273" s="14">
        <v>15</v>
      </c>
      <c r="E273" s="16">
        <v>0.0097</v>
      </c>
      <c r="F273" s="17" t="s">
        <v>825</v>
      </c>
      <c r="G273" s="18" t="s">
        <v>826</v>
      </c>
      <c r="H273" s="17">
        <v>1385</v>
      </c>
      <c r="I273" s="17">
        <v>14</v>
      </c>
      <c r="J273" s="19">
        <v>0.010726073</v>
      </c>
      <c r="K273" s="20">
        <f t="shared" si="9"/>
        <v>0.001026073</v>
      </c>
      <c r="L273" s="20"/>
    </row>
    <row r="274" ht="54.75" customHeight="1" spans="1:12">
      <c r="A274" s="14" t="s">
        <v>827</v>
      </c>
      <c r="B274" s="15" t="s">
        <v>828</v>
      </c>
      <c r="C274" s="14">
        <v>1555</v>
      </c>
      <c r="D274" s="14">
        <v>14</v>
      </c>
      <c r="E274" s="16">
        <v>0.0096</v>
      </c>
      <c r="F274" s="17" t="s">
        <v>827</v>
      </c>
      <c r="G274" s="21" t="s">
        <v>30</v>
      </c>
      <c r="H274" s="17">
        <v>1294</v>
      </c>
      <c r="I274" s="17">
        <v>11</v>
      </c>
      <c r="J274" s="26">
        <v>0.008942371</v>
      </c>
      <c r="K274" s="20">
        <f t="shared" si="9"/>
        <v>-0.000657629</v>
      </c>
      <c r="L274" s="20" t="s">
        <v>314</v>
      </c>
    </row>
    <row r="275" ht="54.75" customHeight="1" spans="1:12">
      <c r="A275" s="14" t="s">
        <v>829</v>
      </c>
      <c r="B275" s="15" t="s">
        <v>830</v>
      </c>
      <c r="C275" s="14">
        <v>1537</v>
      </c>
      <c r="D275" s="14">
        <v>15</v>
      </c>
      <c r="E275" s="16">
        <v>0.0099</v>
      </c>
      <c r="F275" s="17" t="s">
        <v>829</v>
      </c>
      <c r="G275" s="18" t="s">
        <v>830</v>
      </c>
      <c r="H275" s="17">
        <v>1712</v>
      </c>
      <c r="I275" s="17">
        <v>18</v>
      </c>
      <c r="J275" s="19">
        <v>0.011013767</v>
      </c>
      <c r="K275" s="20">
        <f t="shared" si="9"/>
        <v>0.001113767</v>
      </c>
      <c r="L275" s="20"/>
    </row>
    <row r="276" ht="54.75" customHeight="1" spans="1:12">
      <c r="A276" s="14" t="s">
        <v>831</v>
      </c>
      <c r="B276" s="15" t="s">
        <v>832</v>
      </c>
      <c r="C276" s="14">
        <v>1472</v>
      </c>
      <c r="D276" s="14">
        <v>14</v>
      </c>
      <c r="E276" s="16">
        <v>0.0096</v>
      </c>
      <c r="F276" s="17" t="s">
        <v>831</v>
      </c>
      <c r="G276" s="21" t="s">
        <v>31</v>
      </c>
      <c r="H276" s="17">
        <v>1659</v>
      </c>
      <c r="I276" s="17">
        <v>13</v>
      </c>
      <c r="J276" s="26">
        <v>0.008090197</v>
      </c>
      <c r="K276" s="20">
        <f t="shared" si="9"/>
        <v>-0.001509803</v>
      </c>
      <c r="L276" s="20" t="s">
        <v>314</v>
      </c>
    </row>
    <row r="277" ht="54.75" customHeight="1" spans="1:12">
      <c r="A277" s="14" t="s">
        <v>833</v>
      </c>
      <c r="B277" s="15" t="s">
        <v>557</v>
      </c>
      <c r="C277" s="14">
        <v>212</v>
      </c>
      <c r="D277" s="14">
        <v>3</v>
      </c>
      <c r="E277" s="16">
        <v>0.0148</v>
      </c>
      <c r="F277" s="17" t="s">
        <v>833</v>
      </c>
      <c r="G277" s="18" t="s">
        <v>557</v>
      </c>
      <c r="H277" s="17">
        <v>457</v>
      </c>
      <c r="I277" s="17">
        <v>7</v>
      </c>
      <c r="J277" s="19">
        <v>0.0153125</v>
      </c>
      <c r="K277" s="20">
        <f t="shared" si="9"/>
        <v>0.000512499999999999</v>
      </c>
      <c r="L277" s="20"/>
    </row>
    <row r="278" ht="68.25" customHeight="1" spans="1:12">
      <c r="A278" s="14" t="s">
        <v>834</v>
      </c>
      <c r="B278" s="15" t="s">
        <v>835</v>
      </c>
      <c r="C278" s="14">
        <v>1547</v>
      </c>
      <c r="D278" s="14">
        <v>7</v>
      </c>
      <c r="E278" s="16">
        <v>0.0046</v>
      </c>
      <c r="F278" s="17" t="s">
        <v>834</v>
      </c>
      <c r="G278" s="21" t="s">
        <v>20</v>
      </c>
      <c r="H278" s="17">
        <v>1843</v>
      </c>
      <c r="I278" s="17">
        <v>9</v>
      </c>
      <c r="J278" s="26">
        <v>0.005115882</v>
      </c>
      <c r="K278" s="20">
        <f t="shared" si="9"/>
        <v>0.000515882</v>
      </c>
      <c r="L278" s="20" t="s">
        <v>314</v>
      </c>
    </row>
    <row r="279" ht="41.25" customHeight="1" spans="1:12">
      <c r="A279" s="14" t="s">
        <v>836</v>
      </c>
      <c r="B279" s="15" t="s">
        <v>837</v>
      </c>
      <c r="C279" s="14">
        <v>1570</v>
      </c>
      <c r="D279" s="14">
        <v>14</v>
      </c>
      <c r="E279" s="16">
        <v>0.0094</v>
      </c>
      <c r="F279" s="17" t="s">
        <v>836</v>
      </c>
      <c r="G279" s="21" t="s">
        <v>21</v>
      </c>
      <c r="H279" s="17">
        <v>1895</v>
      </c>
      <c r="I279" s="17">
        <v>23</v>
      </c>
      <c r="J279" s="19">
        <v>0.012286123</v>
      </c>
      <c r="K279" s="20">
        <f t="shared" si="9"/>
        <v>0.002886123</v>
      </c>
      <c r="L279" s="20"/>
    </row>
    <row r="280" ht="41.25" customHeight="1" spans="1:12">
      <c r="A280" s="14" t="s">
        <v>838</v>
      </c>
      <c r="B280" s="15" t="s">
        <v>839</v>
      </c>
      <c r="C280" s="14">
        <v>244</v>
      </c>
      <c r="D280" s="14">
        <v>4</v>
      </c>
      <c r="E280" s="16">
        <v>0.0164</v>
      </c>
      <c r="F280" s="17" t="s">
        <v>838</v>
      </c>
      <c r="G280" s="18" t="s">
        <v>839</v>
      </c>
      <c r="H280" s="17">
        <v>398</v>
      </c>
      <c r="I280" s="17">
        <v>7</v>
      </c>
      <c r="J280" s="19">
        <v>0.018299247</v>
      </c>
      <c r="K280" s="20">
        <f t="shared" si="9"/>
        <v>0.001899247</v>
      </c>
      <c r="L280" s="20"/>
    </row>
    <row r="281" ht="68.25" customHeight="1" spans="1:12">
      <c r="A281" s="14" t="s">
        <v>840</v>
      </c>
      <c r="B281" s="15" t="s">
        <v>841</v>
      </c>
      <c r="C281" s="14">
        <v>1505</v>
      </c>
      <c r="D281" s="14">
        <v>11</v>
      </c>
      <c r="E281" s="16">
        <v>0.0076</v>
      </c>
      <c r="F281" s="17" t="s">
        <v>840</v>
      </c>
      <c r="G281" s="21" t="s">
        <v>22</v>
      </c>
      <c r="H281" s="17">
        <v>1399</v>
      </c>
      <c r="I281" s="17">
        <v>6</v>
      </c>
      <c r="J281" s="26">
        <v>0.004389099</v>
      </c>
      <c r="K281" s="20">
        <f t="shared" si="9"/>
        <v>-0.003210901</v>
      </c>
      <c r="L281" s="20" t="s">
        <v>314</v>
      </c>
    </row>
    <row r="282" ht="68.25" customHeight="1" spans="1:12">
      <c r="A282" s="14" t="s">
        <v>842</v>
      </c>
      <c r="B282" s="15" t="s">
        <v>843</v>
      </c>
      <c r="C282" s="14">
        <v>1378</v>
      </c>
      <c r="D282" s="14">
        <v>11</v>
      </c>
      <c r="E282" s="16">
        <v>0.0081</v>
      </c>
      <c r="F282" s="17" t="s">
        <v>842</v>
      </c>
      <c r="G282" s="21" t="s">
        <v>23</v>
      </c>
      <c r="H282" s="17">
        <v>1366</v>
      </c>
      <c r="I282" s="17">
        <v>9</v>
      </c>
      <c r="J282" s="26">
        <v>0.006688963</v>
      </c>
      <c r="K282" s="20">
        <f t="shared" si="9"/>
        <v>-0.001411037</v>
      </c>
      <c r="L282" s="20" t="s">
        <v>314</v>
      </c>
    </row>
    <row r="283" ht="41.25" customHeight="1" spans="1:12">
      <c r="A283" s="14" t="s">
        <v>844</v>
      </c>
      <c r="B283" s="15" t="s">
        <v>845</v>
      </c>
      <c r="C283" s="14">
        <v>81</v>
      </c>
      <c r="D283" s="14">
        <v>1</v>
      </c>
      <c r="E283" s="16">
        <v>0.0175</v>
      </c>
      <c r="F283" s="17" t="s">
        <v>844</v>
      </c>
      <c r="G283" s="18" t="s">
        <v>845</v>
      </c>
      <c r="H283" s="17">
        <v>245</v>
      </c>
      <c r="I283" s="17">
        <v>2</v>
      </c>
      <c r="J283" s="26">
        <v>0.008726003</v>
      </c>
      <c r="K283" s="25">
        <f t="shared" si="9"/>
        <v>-0.008773997</v>
      </c>
      <c r="L283" s="20" t="s">
        <v>314</v>
      </c>
    </row>
    <row r="284" ht="54.75" customHeight="1" spans="1:12">
      <c r="A284" s="14" t="s">
        <v>846</v>
      </c>
      <c r="B284" s="15" t="s">
        <v>847</v>
      </c>
      <c r="C284" s="14">
        <v>1465</v>
      </c>
      <c r="D284" s="14">
        <v>7</v>
      </c>
      <c r="E284" s="16">
        <v>0.0052</v>
      </c>
      <c r="F284" s="17" t="s">
        <v>846</v>
      </c>
      <c r="G284" s="21" t="s">
        <v>24</v>
      </c>
      <c r="H284" s="17">
        <v>1421</v>
      </c>
      <c r="I284" s="17">
        <v>10</v>
      </c>
      <c r="J284" s="26">
        <v>0.007234727</v>
      </c>
      <c r="K284" s="20">
        <f t="shared" si="9"/>
        <v>0.002034727</v>
      </c>
      <c r="L284" s="20" t="s">
        <v>314</v>
      </c>
    </row>
    <row r="285" ht="41.25" customHeight="1" spans="1:12">
      <c r="A285" s="14" t="s">
        <v>848</v>
      </c>
      <c r="B285" s="15" t="s">
        <v>810</v>
      </c>
      <c r="C285" s="14">
        <v>195</v>
      </c>
      <c r="D285" s="14">
        <v>4</v>
      </c>
      <c r="E285" s="16">
        <v>0.0219</v>
      </c>
      <c r="F285" s="17" t="s">
        <v>848</v>
      </c>
      <c r="G285" s="21" t="s">
        <v>810</v>
      </c>
      <c r="H285" s="17">
        <v>340</v>
      </c>
      <c r="I285" s="17">
        <v>5</v>
      </c>
      <c r="J285" s="19">
        <v>0.015926236</v>
      </c>
      <c r="K285" s="27">
        <f t="shared" si="9"/>
        <v>-0.005973764</v>
      </c>
      <c r="L285" s="24" t="s">
        <v>333</v>
      </c>
    </row>
    <row r="286" ht="41.25" customHeight="1" spans="1:12">
      <c r="A286" s="14" t="s">
        <v>849</v>
      </c>
      <c r="B286" s="15" t="s">
        <v>850</v>
      </c>
      <c r="C286" s="14">
        <v>1581</v>
      </c>
      <c r="D286" s="14">
        <v>13</v>
      </c>
      <c r="E286" s="16">
        <v>0.0082</v>
      </c>
      <c r="F286" s="17" t="s">
        <v>849</v>
      </c>
      <c r="G286" s="21" t="s">
        <v>26</v>
      </c>
      <c r="H286" s="17">
        <v>1471</v>
      </c>
      <c r="I286" s="17">
        <v>14</v>
      </c>
      <c r="J286" s="26">
        <v>0.009709681</v>
      </c>
      <c r="K286" s="20">
        <f t="shared" si="9"/>
        <v>0.001509681</v>
      </c>
      <c r="L286" s="20" t="s">
        <v>314</v>
      </c>
    </row>
    <row r="287" ht="68.25" customHeight="1" spans="1:12">
      <c r="A287" s="14" t="s">
        <v>851</v>
      </c>
      <c r="B287" s="15" t="s">
        <v>852</v>
      </c>
      <c r="C287" s="14">
        <v>1629</v>
      </c>
      <c r="D287" s="14">
        <v>8</v>
      </c>
      <c r="E287" s="16">
        <v>0.0049</v>
      </c>
      <c r="F287" s="17" t="s">
        <v>851</v>
      </c>
      <c r="G287" s="21" t="s">
        <v>27</v>
      </c>
      <c r="H287" s="17">
        <v>1371</v>
      </c>
      <c r="I287" s="17">
        <v>6</v>
      </c>
      <c r="J287" s="26">
        <v>0.004375</v>
      </c>
      <c r="K287" s="20">
        <f t="shared" si="9"/>
        <v>-0.000524999999999999</v>
      </c>
      <c r="L287" s="20" t="s">
        <v>314</v>
      </c>
    </row>
    <row r="288" ht="68.25" customHeight="1" spans="1:12">
      <c r="A288" s="14" t="s">
        <v>853</v>
      </c>
      <c r="B288" s="15" t="s">
        <v>854</v>
      </c>
      <c r="C288" s="14">
        <v>1549</v>
      </c>
      <c r="D288" s="14">
        <v>6</v>
      </c>
      <c r="E288" s="16">
        <v>0.0044</v>
      </c>
      <c r="F288" s="17" t="s">
        <v>853</v>
      </c>
      <c r="G288" s="21" t="s">
        <v>28</v>
      </c>
      <c r="H288" s="17">
        <v>1458</v>
      </c>
      <c r="I288" s="17">
        <v>7</v>
      </c>
      <c r="J288" s="26">
        <v>0.005093545</v>
      </c>
      <c r="K288" s="20">
        <f t="shared" si="9"/>
        <v>0.000693544999999999</v>
      </c>
      <c r="L288" s="20" t="s">
        <v>314</v>
      </c>
    </row>
    <row r="289" ht="68.25" customHeight="1" spans="1:12">
      <c r="A289" s="14" t="s">
        <v>855</v>
      </c>
      <c r="B289" s="15" t="s">
        <v>856</v>
      </c>
      <c r="C289" s="14">
        <v>1510</v>
      </c>
      <c r="D289" s="14">
        <v>5</v>
      </c>
      <c r="E289" s="16">
        <v>0.0035</v>
      </c>
      <c r="F289" s="17" t="s">
        <v>855</v>
      </c>
      <c r="G289" s="21" t="s">
        <v>29</v>
      </c>
      <c r="H289" s="17">
        <v>1385</v>
      </c>
      <c r="I289" s="17">
        <v>6</v>
      </c>
      <c r="J289" s="26">
        <v>0.004329897</v>
      </c>
      <c r="K289" s="20">
        <f t="shared" si="9"/>
        <v>0.000829897</v>
      </c>
      <c r="L289" s="20" t="s">
        <v>314</v>
      </c>
    </row>
    <row r="290" ht="41.25" customHeight="1" spans="1:12">
      <c r="A290" s="14" t="s">
        <v>857</v>
      </c>
      <c r="B290" s="15" t="s">
        <v>858</v>
      </c>
      <c r="C290" s="14">
        <v>256</v>
      </c>
      <c r="D290" s="14">
        <v>3</v>
      </c>
      <c r="E290" s="16">
        <v>0.0117</v>
      </c>
      <c r="F290" s="17" t="s">
        <v>857</v>
      </c>
      <c r="G290" s="18" t="s">
        <v>858</v>
      </c>
      <c r="H290" s="17"/>
      <c r="I290" s="17"/>
      <c r="J290" s="19"/>
      <c r="K290" s="20"/>
      <c r="L290" s="20"/>
    </row>
    <row r="291" ht="68.25" customHeight="1" spans="1:12">
      <c r="A291" s="14" t="s">
        <v>859</v>
      </c>
      <c r="B291" s="15" t="s">
        <v>860</v>
      </c>
      <c r="C291" s="14">
        <v>1564</v>
      </c>
      <c r="D291" s="14">
        <v>14</v>
      </c>
      <c r="E291" s="16">
        <v>0.0095</v>
      </c>
      <c r="F291" s="17" t="s">
        <v>859</v>
      </c>
      <c r="G291" s="18" t="s">
        <v>860</v>
      </c>
      <c r="H291" s="17">
        <v>1404</v>
      </c>
      <c r="I291" s="17">
        <v>15</v>
      </c>
      <c r="J291" s="19">
        <v>0.010882832</v>
      </c>
      <c r="K291" s="20">
        <f t="shared" ref="K291:K307" si="10">J291-E291</f>
        <v>0.001382832</v>
      </c>
      <c r="L291" s="20"/>
    </row>
    <row r="292" ht="41.25" customHeight="1" spans="1:12">
      <c r="A292" s="14" t="s">
        <v>861</v>
      </c>
      <c r="B292" s="15" t="s">
        <v>862</v>
      </c>
      <c r="C292" s="14">
        <v>169</v>
      </c>
      <c r="D292" s="14">
        <v>1</v>
      </c>
      <c r="E292" s="16">
        <v>0.0084</v>
      </c>
      <c r="F292" s="17" t="s">
        <v>861</v>
      </c>
      <c r="G292" s="18" t="s">
        <v>862</v>
      </c>
      <c r="H292" s="17">
        <v>411</v>
      </c>
      <c r="I292" s="17">
        <v>3</v>
      </c>
      <c r="J292" s="26">
        <v>0.007633588</v>
      </c>
      <c r="K292" s="20">
        <f t="shared" si="10"/>
        <v>-0.000766411999999999</v>
      </c>
      <c r="L292" s="20" t="s">
        <v>314</v>
      </c>
    </row>
    <row r="293" ht="68.25" customHeight="1" spans="1:12">
      <c r="A293" s="14" t="s">
        <v>863</v>
      </c>
      <c r="B293" s="15" t="s">
        <v>864</v>
      </c>
      <c r="C293" s="14">
        <v>198</v>
      </c>
      <c r="D293" s="14">
        <v>2</v>
      </c>
      <c r="E293" s="16">
        <v>0.0101</v>
      </c>
      <c r="F293" s="17" t="s">
        <v>863</v>
      </c>
      <c r="G293" s="18" t="s">
        <v>864</v>
      </c>
      <c r="H293" s="17">
        <v>513</v>
      </c>
      <c r="I293" s="17">
        <v>5</v>
      </c>
      <c r="J293" s="26">
        <v>0.009730331</v>
      </c>
      <c r="K293" s="20">
        <f t="shared" si="10"/>
        <v>-0.000369669</v>
      </c>
      <c r="L293" s="20" t="s">
        <v>314</v>
      </c>
    </row>
    <row r="294" ht="68.25" customHeight="1" spans="1:12">
      <c r="A294" s="14" t="s">
        <v>865</v>
      </c>
      <c r="B294" s="15" t="s">
        <v>866</v>
      </c>
      <c r="C294" s="14">
        <v>1546</v>
      </c>
      <c r="D294" s="14">
        <v>9</v>
      </c>
      <c r="E294" s="16">
        <v>0.006</v>
      </c>
      <c r="F294" s="17" t="s">
        <v>865</v>
      </c>
      <c r="G294" s="21" t="s">
        <v>38</v>
      </c>
      <c r="H294" s="17">
        <v>1490</v>
      </c>
      <c r="I294" s="17">
        <v>13</v>
      </c>
      <c r="J294" s="26">
        <v>0.008815638</v>
      </c>
      <c r="K294" s="20">
        <f t="shared" si="10"/>
        <v>0.002815638</v>
      </c>
      <c r="L294" s="20" t="s">
        <v>314</v>
      </c>
    </row>
    <row r="295" ht="41.25" customHeight="1" spans="1:12">
      <c r="A295" s="14" t="s">
        <v>867</v>
      </c>
      <c r="B295" s="15" t="s">
        <v>868</v>
      </c>
      <c r="C295" s="14">
        <v>1549</v>
      </c>
      <c r="D295" s="14">
        <v>7</v>
      </c>
      <c r="E295" s="16">
        <v>0.0049</v>
      </c>
      <c r="F295" s="17" t="s">
        <v>867</v>
      </c>
      <c r="G295" s="21" t="s">
        <v>39</v>
      </c>
      <c r="H295" s="17">
        <v>2260</v>
      </c>
      <c r="I295" s="17">
        <v>10</v>
      </c>
      <c r="J295" s="26">
        <v>0.004802528</v>
      </c>
      <c r="K295" s="20">
        <f t="shared" si="10"/>
        <v>-9.74719999999995e-5</v>
      </c>
      <c r="L295" s="20" t="s">
        <v>314</v>
      </c>
    </row>
    <row r="296" ht="68.25" customHeight="1" spans="1:12">
      <c r="A296" s="14" t="s">
        <v>869</v>
      </c>
      <c r="B296" s="15" t="s">
        <v>870</v>
      </c>
      <c r="C296" s="14">
        <v>795</v>
      </c>
      <c r="D296" s="14">
        <v>5</v>
      </c>
      <c r="E296" s="16">
        <v>0.007</v>
      </c>
      <c r="F296" s="17" t="s">
        <v>869</v>
      </c>
      <c r="G296" s="21" t="s">
        <v>40</v>
      </c>
      <c r="H296" s="17">
        <v>820</v>
      </c>
      <c r="I296" s="17">
        <v>6</v>
      </c>
      <c r="J296" s="26">
        <v>0.008183876</v>
      </c>
      <c r="K296" s="20">
        <f t="shared" si="10"/>
        <v>0.001183876</v>
      </c>
      <c r="L296" s="20" t="s">
        <v>314</v>
      </c>
    </row>
    <row r="297" ht="68.25" customHeight="1" spans="1:12">
      <c r="A297" s="14" t="s">
        <v>871</v>
      </c>
      <c r="B297" s="15" t="s">
        <v>872</v>
      </c>
      <c r="C297" s="14">
        <v>264</v>
      </c>
      <c r="D297" s="14">
        <v>3</v>
      </c>
      <c r="E297" s="16">
        <v>0.0146</v>
      </c>
      <c r="F297" s="17" t="s">
        <v>871</v>
      </c>
      <c r="G297" s="18" t="s">
        <v>872</v>
      </c>
      <c r="H297" s="17">
        <v>659</v>
      </c>
      <c r="I297" s="17">
        <v>5</v>
      </c>
      <c r="J297" s="26">
        <v>0.008880225</v>
      </c>
      <c r="K297" s="25">
        <f t="shared" si="10"/>
        <v>-0.005719775</v>
      </c>
      <c r="L297" s="20" t="s">
        <v>314</v>
      </c>
    </row>
    <row r="298" ht="68.25" customHeight="1" spans="1:12">
      <c r="A298" s="14" t="s">
        <v>873</v>
      </c>
      <c r="B298" s="15" t="s">
        <v>874</v>
      </c>
      <c r="C298" s="14">
        <v>1425</v>
      </c>
      <c r="D298" s="14">
        <v>7</v>
      </c>
      <c r="E298" s="16">
        <v>0.0052</v>
      </c>
      <c r="F298" s="17" t="s">
        <v>873</v>
      </c>
      <c r="G298" s="21" t="s">
        <v>32</v>
      </c>
      <c r="H298" s="17">
        <v>1478</v>
      </c>
      <c r="I298" s="17">
        <v>8</v>
      </c>
      <c r="J298" s="26">
        <v>0.00589372</v>
      </c>
      <c r="K298" s="20">
        <f t="shared" si="10"/>
        <v>0.00069372</v>
      </c>
      <c r="L298" s="20" t="s">
        <v>314</v>
      </c>
    </row>
    <row r="299" ht="68.25" customHeight="1" spans="1:12">
      <c r="A299" s="14" t="s">
        <v>875</v>
      </c>
      <c r="B299" s="15" t="s">
        <v>876</v>
      </c>
      <c r="C299" s="14">
        <v>1582</v>
      </c>
      <c r="D299" s="14">
        <v>12</v>
      </c>
      <c r="E299" s="16">
        <v>0.0077</v>
      </c>
      <c r="F299" s="17" t="s">
        <v>875</v>
      </c>
      <c r="G299" s="21" t="s">
        <v>33</v>
      </c>
      <c r="H299" s="17">
        <v>1471</v>
      </c>
      <c r="I299" s="17">
        <v>10</v>
      </c>
      <c r="J299" s="26">
        <v>0.006794797</v>
      </c>
      <c r="K299" s="20">
        <f t="shared" si="10"/>
        <v>-0.000905203</v>
      </c>
      <c r="L299" s="20" t="s">
        <v>314</v>
      </c>
    </row>
    <row r="300" ht="54.75" customHeight="1" spans="1:12">
      <c r="A300" s="14" t="s">
        <v>877</v>
      </c>
      <c r="B300" s="15" t="s">
        <v>878</v>
      </c>
      <c r="C300" s="14">
        <v>216</v>
      </c>
      <c r="D300" s="14">
        <v>2</v>
      </c>
      <c r="E300" s="16">
        <v>0.0112</v>
      </c>
      <c r="F300" s="17" t="s">
        <v>877</v>
      </c>
      <c r="G300" s="21" t="s">
        <v>34</v>
      </c>
      <c r="H300" s="17">
        <v>580</v>
      </c>
      <c r="I300" s="17">
        <v>6</v>
      </c>
      <c r="J300" s="19">
        <v>0.01034228</v>
      </c>
      <c r="K300" s="20">
        <f t="shared" si="10"/>
        <v>-0.000857719999999999</v>
      </c>
      <c r="L300" s="20"/>
    </row>
    <row r="301" ht="68.25" customHeight="1" spans="1:12">
      <c r="A301" s="14" t="s">
        <v>879</v>
      </c>
      <c r="B301" s="15" t="s">
        <v>880</v>
      </c>
      <c r="C301" s="14">
        <v>1577</v>
      </c>
      <c r="D301" s="14">
        <v>18</v>
      </c>
      <c r="E301" s="16">
        <v>0.0117</v>
      </c>
      <c r="F301" s="17" t="s">
        <v>879</v>
      </c>
      <c r="G301" s="18" t="s">
        <v>880</v>
      </c>
      <c r="H301" s="17">
        <v>1466</v>
      </c>
      <c r="I301" s="17">
        <v>16</v>
      </c>
      <c r="J301" s="19">
        <v>0.011104617</v>
      </c>
      <c r="K301" s="20">
        <f t="shared" si="10"/>
        <v>-0.000595383</v>
      </c>
      <c r="L301" s="20"/>
    </row>
    <row r="302" ht="68.25" customHeight="1" spans="1:12">
      <c r="A302" s="14" t="s">
        <v>881</v>
      </c>
      <c r="B302" s="15" t="s">
        <v>882</v>
      </c>
      <c r="C302" s="14">
        <v>304</v>
      </c>
      <c r="D302" s="14">
        <v>3</v>
      </c>
      <c r="E302" s="16">
        <v>0.0113</v>
      </c>
      <c r="F302" s="17" t="s">
        <v>881</v>
      </c>
      <c r="G302" s="18" t="s">
        <v>882</v>
      </c>
      <c r="H302" s="17">
        <v>622</v>
      </c>
      <c r="I302" s="17">
        <v>5</v>
      </c>
      <c r="J302" s="26">
        <v>0.009414466</v>
      </c>
      <c r="K302" s="20">
        <f t="shared" si="10"/>
        <v>-0.001885534</v>
      </c>
      <c r="L302" s="20" t="s">
        <v>314</v>
      </c>
    </row>
    <row r="303" ht="54.75" customHeight="1" spans="1:12">
      <c r="A303" s="14" t="s">
        <v>883</v>
      </c>
      <c r="B303" s="15" t="s">
        <v>884</v>
      </c>
      <c r="C303" s="14">
        <v>306</v>
      </c>
      <c r="D303" s="14">
        <v>7</v>
      </c>
      <c r="E303" s="16">
        <v>0.0238</v>
      </c>
      <c r="F303" s="17" t="s">
        <v>883</v>
      </c>
      <c r="G303" s="18" t="s">
        <v>884</v>
      </c>
      <c r="H303" s="17">
        <v>610</v>
      </c>
      <c r="I303" s="17">
        <v>9</v>
      </c>
      <c r="J303" s="19">
        <v>0.015449438</v>
      </c>
      <c r="K303" s="25">
        <f t="shared" si="10"/>
        <v>-0.008350562</v>
      </c>
      <c r="L303" s="28"/>
    </row>
    <row r="304" ht="41.25" customHeight="1" spans="1:12">
      <c r="A304" s="14" t="s">
        <v>885</v>
      </c>
      <c r="B304" s="15" t="s">
        <v>886</v>
      </c>
      <c r="C304" s="14">
        <v>329</v>
      </c>
      <c r="D304" s="14">
        <v>5</v>
      </c>
      <c r="E304" s="16">
        <v>0.0169</v>
      </c>
      <c r="F304" s="17" t="s">
        <v>885</v>
      </c>
      <c r="G304" s="18" t="s">
        <v>886</v>
      </c>
      <c r="H304" s="17">
        <v>618</v>
      </c>
      <c r="I304" s="17">
        <v>9</v>
      </c>
      <c r="J304" s="19">
        <v>0.015931656</v>
      </c>
      <c r="K304" s="20">
        <f t="shared" si="10"/>
        <v>-0.000968343999999999</v>
      </c>
      <c r="L304" s="20"/>
    </row>
    <row r="305" ht="54.75" customHeight="1" spans="1:12">
      <c r="A305" s="14" t="s">
        <v>887</v>
      </c>
      <c r="B305" s="15" t="s">
        <v>888</v>
      </c>
      <c r="C305" s="14">
        <v>1596</v>
      </c>
      <c r="D305" s="14">
        <v>8</v>
      </c>
      <c r="E305" s="16">
        <v>0.0052</v>
      </c>
      <c r="F305" s="17" t="s">
        <v>887</v>
      </c>
      <c r="G305" s="21" t="s">
        <v>35</v>
      </c>
      <c r="H305" s="17">
        <v>1453</v>
      </c>
      <c r="I305" s="17">
        <v>7</v>
      </c>
      <c r="J305" s="26">
        <v>0.004913522</v>
      </c>
      <c r="K305" s="20">
        <f t="shared" si="10"/>
        <v>-0.000286478</v>
      </c>
      <c r="L305" s="20" t="s">
        <v>314</v>
      </c>
    </row>
    <row r="306" ht="68.25" customHeight="1" spans="1:12">
      <c r="A306" s="14" t="s">
        <v>889</v>
      </c>
      <c r="B306" s="15" t="s">
        <v>890</v>
      </c>
      <c r="C306" s="14">
        <v>1501</v>
      </c>
      <c r="D306" s="14">
        <v>15</v>
      </c>
      <c r="E306" s="16">
        <v>0.0101</v>
      </c>
      <c r="F306" s="17" t="s">
        <v>889</v>
      </c>
      <c r="G306" s="21" t="s">
        <v>36</v>
      </c>
      <c r="H306" s="17">
        <v>1337</v>
      </c>
      <c r="I306" s="17">
        <v>10</v>
      </c>
      <c r="J306" s="26">
        <v>0.007901762</v>
      </c>
      <c r="K306" s="20">
        <f t="shared" si="10"/>
        <v>-0.002198238</v>
      </c>
      <c r="L306" s="20" t="s">
        <v>314</v>
      </c>
    </row>
    <row r="307" ht="68.25" customHeight="1" spans="1:12">
      <c r="A307" s="14" t="s">
        <v>891</v>
      </c>
      <c r="B307" s="15" t="s">
        <v>892</v>
      </c>
      <c r="C307" s="14">
        <v>1391</v>
      </c>
      <c r="D307" s="14">
        <v>7</v>
      </c>
      <c r="E307" s="16">
        <v>0.0053</v>
      </c>
      <c r="F307" s="17" t="s">
        <v>891</v>
      </c>
      <c r="G307" s="21" t="s">
        <v>37</v>
      </c>
      <c r="H307" s="17">
        <v>1413</v>
      </c>
      <c r="I307" s="17">
        <v>11</v>
      </c>
      <c r="J307" s="26">
        <v>0.008289527</v>
      </c>
      <c r="K307" s="20">
        <f t="shared" si="10"/>
        <v>0.002989527</v>
      </c>
      <c r="L307" s="20" t="s">
        <v>314</v>
      </c>
    </row>
    <row r="308" ht="41.25" customHeight="1" spans="1:12">
      <c r="A308" s="14" t="s">
        <v>893</v>
      </c>
      <c r="B308" s="15" t="s">
        <v>894</v>
      </c>
      <c r="C308" s="14">
        <v>387</v>
      </c>
      <c r="D308" s="14">
        <v>7</v>
      </c>
      <c r="E308" s="16">
        <v>0.0195</v>
      </c>
      <c r="F308" s="17" t="s">
        <v>893</v>
      </c>
      <c r="G308" s="18" t="s">
        <v>894</v>
      </c>
      <c r="H308" s="17"/>
      <c r="I308" s="17"/>
      <c r="J308" s="19"/>
      <c r="K308" s="20"/>
      <c r="L308" s="20"/>
    </row>
    <row r="309" ht="41.25" customHeight="1" spans="1:12">
      <c r="A309" s="14" t="s">
        <v>895</v>
      </c>
      <c r="B309" s="15" t="s">
        <v>896</v>
      </c>
      <c r="C309" s="14">
        <v>1570</v>
      </c>
      <c r="D309" s="14">
        <v>23</v>
      </c>
      <c r="E309" s="16">
        <v>0.0151</v>
      </c>
      <c r="F309" s="17" t="s">
        <v>895</v>
      </c>
      <c r="G309" s="18" t="s">
        <v>896</v>
      </c>
      <c r="H309" s="17">
        <v>1534</v>
      </c>
      <c r="I309" s="17">
        <v>26</v>
      </c>
      <c r="J309" s="19">
        <v>0.017032762</v>
      </c>
      <c r="K309" s="20">
        <f t="shared" ref="K309:K335" si="11">J309-E309</f>
        <v>0.001932762</v>
      </c>
      <c r="L309" s="20"/>
    </row>
    <row r="310" ht="68.25" customHeight="1" spans="1:12">
      <c r="A310" s="14" t="s">
        <v>897</v>
      </c>
      <c r="B310" s="15" t="s">
        <v>898</v>
      </c>
      <c r="C310" s="14">
        <v>370</v>
      </c>
      <c r="D310" s="14">
        <v>2</v>
      </c>
      <c r="E310" s="16">
        <v>0.0058</v>
      </c>
      <c r="F310" s="17" t="s">
        <v>897</v>
      </c>
      <c r="G310" s="18" t="s">
        <v>158</v>
      </c>
      <c r="H310" s="17">
        <v>1517</v>
      </c>
      <c r="I310" s="17">
        <v>10</v>
      </c>
      <c r="J310" s="26">
        <v>0.006686129</v>
      </c>
      <c r="K310" s="20">
        <f t="shared" si="11"/>
        <v>0.000886129</v>
      </c>
      <c r="L310" s="20" t="s">
        <v>314</v>
      </c>
    </row>
    <row r="311" ht="68.25" customHeight="1" spans="1:12">
      <c r="A311" s="14" t="s">
        <v>899</v>
      </c>
      <c r="B311" s="15" t="s">
        <v>900</v>
      </c>
      <c r="C311" s="14">
        <v>1350</v>
      </c>
      <c r="D311" s="14">
        <v>7</v>
      </c>
      <c r="E311" s="16">
        <v>0.0056</v>
      </c>
      <c r="F311" s="17" t="s">
        <v>899</v>
      </c>
      <c r="G311" s="21" t="s">
        <v>162</v>
      </c>
      <c r="H311" s="17">
        <v>1386</v>
      </c>
      <c r="I311" s="17">
        <v>9</v>
      </c>
      <c r="J311" s="26">
        <v>0.007004532</v>
      </c>
      <c r="K311" s="20">
        <f t="shared" si="11"/>
        <v>0.001404532</v>
      </c>
      <c r="L311" s="20" t="s">
        <v>314</v>
      </c>
    </row>
    <row r="312" ht="68.25" customHeight="1" spans="1:12">
      <c r="A312" s="14" t="s">
        <v>901</v>
      </c>
      <c r="B312" s="15" t="s">
        <v>902</v>
      </c>
      <c r="C312" s="14">
        <v>1846</v>
      </c>
      <c r="D312" s="14">
        <v>13</v>
      </c>
      <c r="E312" s="16">
        <v>0.0071</v>
      </c>
      <c r="F312" s="17" t="s">
        <v>901</v>
      </c>
      <c r="G312" s="21" t="s">
        <v>163</v>
      </c>
      <c r="H312" s="17">
        <v>1583</v>
      </c>
      <c r="I312" s="17">
        <v>6</v>
      </c>
      <c r="J312" s="26">
        <v>0.004150126</v>
      </c>
      <c r="K312" s="20">
        <f t="shared" si="11"/>
        <v>-0.002949874</v>
      </c>
      <c r="L312" s="20" t="s">
        <v>314</v>
      </c>
    </row>
    <row r="313" ht="27.75" customHeight="1" spans="1:12">
      <c r="A313" s="14" t="s">
        <v>903</v>
      </c>
      <c r="B313" s="15" t="s">
        <v>904</v>
      </c>
      <c r="C313" s="14">
        <v>946</v>
      </c>
      <c r="D313" s="14">
        <v>9</v>
      </c>
      <c r="E313" s="16">
        <v>0.0104</v>
      </c>
      <c r="F313" s="17" t="s">
        <v>903</v>
      </c>
      <c r="G313" s="18" t="s">
        <v>904</v>
      </c>
      <c r="H313" s="17">
        <v>1453</v>
      </c>
      <c r="I313" s="17">
        <v>15</v>
      </c>
      <c r="J313" s="19">
        <v>0.010813999</v>
      </c>
      <c r="K313" s="20">
        <f t="shared" si="11"/>
        <v>0.000413999</v>
      </c>
      <c r="L313" s="20"/>
    </row>
    <row r="314" ht="68.25" customHeight="1" spans="1:12">
      <c r="A314" s="14" t="s">
        <v>905</v>
      </c>
      <c r="B314" s="15" t="s">
        <v>906</v>
      </c>
      <c r="C314" s="14">
        <v>1837</v>
      </c>
      <c r="D314" s="14">
        <v>9</v>
      </c>
      <c r="E314" s="16">
        <v>0.0054</v>
      </c>
      <c r="F314" s="17" t="s">
        <v>905</v>
      </c>
      <c r="G314" s="18" t="s">
        <v>907</v>
      </c>
      <c r="H314" s="17">
        <v>1604</v>
      </c>
      <c r="I314" s="17">
        <v>11</v>
      </c>
      <c r="J314" s="26">
        <v>0.007392234</v>
      </c>
      <c r="K314" s="20">
        <f t="shared" si="11"/>
        <v>0.001992234</v>
      </c>
      <c r="L314" s="20" t="s">
        <v>314</v>
      </c>
    </row>
    <row r="315" ht="68.25" customHeight="1" spans="1:12">
      <c r="A315" s="14" t="s">
        <v>908</v>
      </c>
      <c r="B315" s="15" t="s">
        <v>909</v>
      </c>
      <c r="C315" s="14">
        <v>1806</v>
      </c>
      <c r="D315" s="14">
        <v>11</v>
      </c>
      <c r="E315" s="16">
        <v>0.0064</v>
      </c>
      <c r="F315" s="17" t="s">
        <v>908</v>
      </c>
      <c r="G315" s="21" t="s">
        <v>210</v>
      </c>
      <c r="H315" s="17">
        <v>1561</v>
      </c>
      <c r="I315" s="17">
        <v>10</v>
      </c>
      <c r="J315" s="26">
        <v>0.006863732</v>
      </c>
      <c r="K315" s="20">
        <f t="shared" si="11"/>
        <v>0.000463732</v>
      </c>
      <c r="L315" s="20" t="s">
        <v>314</v>
      </c>
    </row>
    <row r="316" ht="68.25" customHeight="1" spans="1:12">
      <c r="A316" s="14" t="s">
        <v>910</v>
      </c>
      <c r="B316" s="15" t="s">
        <v>911</v>
      </c>
      <c r="C316" s="14">
        <v>1807</v>
      </c>
      <c r="D316" s="14">
        <v>8</v>
      </c>
      <c r="E316" s="16">
        <v>0.0047</v>
      </c>
      <c r="F316" s="17" t="s">
        <v>910</v>
      </c>
      <c r="G316" s="21" t="s">
        <v>165</v>
      </c>
      <c r="H316" s="17">
        <v>1546</v>
      </c>
      <c r="I316" s="17">
        <v>8</v>
      </c>
      <c r="J316" s="26">
        <v>0.005171777</v>
      </c>
      <c r="K316" s="20">
        <f t="shared" si="11"/>
        <v>0.000471777</v>
      </c>
      <c r="L316" s="20" t="s">
        <v>314</v>
      </c>
    </row>
    <row r="317" ht="68.25" customHeight="1" spans="1:12">
      <c r="A317" s="14" t="s">
        <v>912</v>
      </c>
      <c r="B317" s="15" t="s">
        <v>913</v>
      </c>
      <c r="C317" s="14">
        <v>1878</v>
      </c>
      <c r="D317" s="14">
        <v>12</v>
      </c>
      <c r="E317" s="16">
        <v>0.0067</v>
      </c>
      <c r="F317" s="17" t="s">
        <v>912</v>
      </c>
      <c r="G317" s="21" t="s">
        <v>211</v>
      </c>
      <c r="H317" s="17">
        <v>1581</v>
      </c>
      <c r="I317" s="17">
        <v>8</v>
      </c>
      <c r="J317" s="26">
        <v>0.005060089</v>
      </c>
      <c r="K317" s="20">
        <f t="shared" si="11"/>
        <v>-0.001639911</v>
      </c>
      <c r="L317" s="20" t="s">
        <v>314</v>
      </c>
    </row>
    <row r="318" ht="41.25" customHeight="1" spans="1:12">
      <c r="A318" s="14" t="s">
        <v>914</v>
      </c>
      <c r="B318" s="15" t="s">
        <v>915</v>
      </c>
      <c r="C318" s="14">
        <v>1677</v>
      </c>
      <c r="D318" s="14">
        <v>9</v>
      </c>
      <c r="E318" s="16">
        <v>0.0059</v>
      </c>
      <c r="F318" s="17" t="s">
        <v>914</v>
      </c>
      <c r="G318" s="21" t="s">
        <v>212</v>
      </c>
      <c r="H318" s="17">
        <v>206</v>
      </c>
      <c r="I318" s="17">
        <v>2</v>
      </c>
      <c r="J318" s="19">
        <v>0.013130615</v>
      </c>
      <c r="K318" s="20">
        <f t="shared" si="11"/>
        <v>0.007230615</v>
      </c>
      <c r="L318" s="20"/>
    </row>
    <row r="319" ht="68.25" customHeight="1" spans="1:12">
      <c r="A319" s="14" t="s">
        <v>916</v>
      </c>
      <c r="B319" s="15" t="s">
        <v>917</v>
      </c>
      <c r="C319" s="14">
        <v>1700</v>
      </c>
      <c r="D319" s="14">
        <v>11</v>
      </c>
      <c r="E319" s="16">
        <v>0.0066</v>
      </c>
      <c r="F319" s="17" t="s">
        <v>916</v>
      </c>
      <c r="G319" s="21" t="s">
        <v>203</v>
      </c>
      <c r="H319" s="17">
        <v>1564</v>
      </c>
      <c r="I319" s="17">
        <v>6</v>
      </c>
      <c r="J319" s="26">
        <v>0.004293022</v>
      </c>
      <c r="K319" s="20">
        <f t="shared" si="11"/>
        <v>-0.002306978</v>
      </c>
      <c r="L319" s="20" t="s">
        <v>314</v>
      </c>
    </row>
    <row r="320" ht="68.25" customHeight="1" spans="1:12">
      <c r="A320" s="14" t="s">
        <v>918</v>
      </c>
      <c r="B320" s="15" t="s">
        <v>919</v>
      </c>
      <c r="C320" s="14">
        <v>1703</v>
      </c>
      <c r="D320" s="14">
        <v>9</v>
      </c>
      <c r="E320" s="16">
        <v>0.0055</v>
      </c>
      <c r="F320" s="17" t="s">
        <v>918</v>
      </c>
      <c r="G320" s="18" t="s">
        <v>154</v>
      </c>
      <c r="H320" s="17">
        <v>1550</v>
      </c>
      <c r="I320" s="17">
        <v>6</v>
      </c>
      <c r="J320" s="26">
        <v>0.004422333</v>
      </c>
      <c r="K320" s="20">
        <f t="shared" si="11"/>
        <v>-0.001077667</v>
      </c>
      <c r="L320" s="20" t="s">
        <v>314</v>
      </c>
    </row>
    <row r="321" ht="68.25" customHeight="1" spans="1:12">
      <c r="A321" s="14" t="s">
        <v>920</v>
      </c>
      <c r="B321" s="15" t="s">
        <v>921</v>
      </c>
      <c r="C321" s="14">
        <v>1685</v>
      </c>
      <c r="D321" s="14">
        <v>8</v>
      </c>
      <c r="E321" s="16">
        <v>0.0049</v>
      </c>
      <c r="F321" s="17" t="s">
        <v>920</v>
      </c>
      <c r="G321" s="18" t="s">
        <v>155</v>
      </c>
      <c r="H321" s="17">
        <v>1540</v>
      </c>
      <c r="I321" s="17">
        <v>6</v>
      </c>
      <c r="J321" s="26">
        <v>0.003987389</v>
      </c>
      <c r="K321" s="20">
        <f t="shared" si="11"/>
        <v>-0.000912611</v>
      </c>
      <c r="L321" s="20" t="s">
        <v>314</v>
      </c>
    </row>
    <row r="322" ht="68.25" customHeight="1" spans="1:12">
      <c r="A322" s="14" t="s">
        <v>922</v>
      </c>
      <c r="B322" s="15" t="s">
        <v>923</v>
      </c>
      <c r="C322" s="14">
        <v>1678</v>
      </c>
      <c r="D322" s="14">
        <v>8</v>
      </c>
      <c r="E322" s="16">
        <v>0.0053</v>
      </c>
      <c r="F322" s="17" t="s">
        <v>922</v>
      </c>
      <c r="G322" s="21" t="s">
        <v>204</v>
      </c>
      <c r="H322" s="17">
        <v>1521</v>
      </c>
      <c r="I322" s="17">
        <v>10</v>
      </c>
      <c r="J322" s="26">
        <v>0.006666041</v>
      </c>
      <c r="K322" s="20">
        <f t="shared" si="11"/>
        <v>0.001366041</v>
      </c>
      <c r="L322" s="20" t="s">
        <v>314</v>
      </c>
    </row>
    <row r="323" ht="68.25" customHeight="1" spans="1:12">
      <c r="A323" s="14" t="s">
        <v>924</v>
      </c>
      <c r="B323" s="15" t="s">
        <v>925</v>
      </c>
      <c r="C323" s="14">
        <v>1656</v>
      </c>
      <c r="D323" s="14">
        <v>7</v>
      </c>
      <c r="E323" s="16">
        <v>0.0044</v>
      </c>
      <c r="F323" s="17" t="s">
        <v>924</v>
      </c>
      <c r="G323" s="21" t="s">
        <v>156</v>
      </c>
      <c r="H323" s="17">
        <v>1536</v>
      </c>
      <c r="I323" s="17">
        <v>8</v>
      </c>
      <c r="J323" s="26">
        <v>0.005392841</v>
      </c>
      <c r="K323" s="20">
        <f t="shared" si="11"/>
        <v>0.000992841</v>
      </c>
      <c r="L323" s="20" t="s">
        <v>314</v>
      </c>
    </row>
    <row r="324" ht="68.25" customHeight="1" spans="1:12">
      <c r="A324" s="14" t="s">
        <v>926</v>
      </c>
      <c r="B324" s="15" t="s">
        <v>927</v>
      </c>
      <c r="C324" s="14">
        <v>1592</v>
      </c>
      <c r="D324" s="14">
        <v>13</v>
      </c>
      <c r="E324" s="16">
        <v>0.0084</v>
      </c>
      <c r="F324" s="17" t="s">
        <v>926</v>
      </c>
      <c r="G324" s="21" t="s">
        <v>205</v>
      </c>
      <c r="H324" s="17">
        <v>1566</v>
      </c>
      <c r="I324" s="17">
        <v>9</v>
      </c>
      <c r="J324" s="26">
        <v>0.005927953</v>
      </c>
      <c r="K324" s="20">
        <f t="shared" si="11"/>
        <v>-0.002472047</v>
      </c>
      <c r="L324" s="20" t="s">
        <v>314</v>
      </c>
    </row>
    <row r="325" ht="54.75" customHeight="1" spans="1:12">
      <c r="A325" s="14" t="s">
        <v>928</v>
      </c>
      <c r="B325" s="15" t="s">
        <v>929</v>
      </c>
      <c r="C325" s="14">
        <v>1369</v>
      </c>
      <c r="D325" s="14">
        <v>9</v>
      </c>
      <c r="E325" s="16">
        <v>0.0066</v>
      </c>
      <c r="F325" s="17" t="s">
        <v>928</v>
      </c>
      <c r="G325" s="21" t="s">
        <v>206</v>
      </c>
      <c r="H325" s="17">
        <v>1456</v>
      </c>
      <c r="I325" s="17">
        <v>15</v>
      </c>
      <c r="J325" s="19">
        <v>0.010297146</v>
      </c>
      <c r="K325" s="20">
        <f t="shared" si="11"/>
        <v>0.003697146</v>
      </c>
      <c r="L325" s="20"/>
    </row>
    <row r="326" ht="54.75" customHeight="1" spans="1:12">
      <c r="A326" s="14" t="s">
        <v>930</v>
      </c>
      <c r="B326" s="15" t="s">
        <v>931</v>
      </c>
      <c r="C326" s="14">
        <v>1381</v>
      </c>
      <c r="D326" s="14">
        <v>11</v>
      </c>
      <c r="E326" s="16">
        <v>0.0086</v>
      </c>
      <c r="F326" s="17" t="s">
        <v>930</v>
      </c>
      <c r="G326" s="21" t="s">
        <v>207</v>
      </c>
      <c r="H326" s="17">
        <v>1463</v>
      </c>
      <c r="I326" s="17">
        <v>10</v>
      </c>
      <c r="J326" s="26">
        <v>0.007027133</v>
      </c>
      <c r="K326" s="20">
        <f t="shared" si="11"/>
        <v>-0.001572867</v>
      </c>
      <c r="L326" s="20" t="s">
        <v>314</v>
      </c>
    </row>
    <row r="327" ht="68.25" customHeight="1" spans="1:12">
      <c r="A327" s="14" t="s">
        <v>932</v>
      </c>
      <c r="B327" s="15" t="s">
        <v>933</v>
      </c>
      <c r="C327" s="14">
        <v>1653</v>
      </c>
      <c r="D327" s="14">
        <v>6</v>
      </c>
      <c r="E327" s="16">
        <v>0.0039</v>
      </c>
      <c r="F327" s="17" t="s">
        <v>932</v>
      </c>
      <c r="G327" s="21" t="s">
        <v>157</v>
      </c>
      <c r="H327" s="17">
        <v>1540</v>
      </c>
      <c r="I327" s="17">
        <v>6</v>
      </c>
      <c r="J327" s="26">
        <v>0.004080497</v>
      </c>
      <c r="K327" s="20">
        <f t="shared" si="11"/>
        <v>0.000180497</v>
      </c>
      <c r="L327" s="20" t="s">
        <v>314</v>
      </c>
    </row>
    <row r="328" ht="54.75" customHeight="1" spans="1:12">
      <c r="A328" s="14" t="s">
        <v>934</v>
      </c>
      <c r="B328" s="15" t="s">
        <v>935</v>
      </c>
      <c r="C328" s="14">
        <v>1415</v>
      </c>
      <c r="D328" s="14">
        <v>8</v>
      </c>
      <c r="E328" s="16">
        <v>0.0062</v>
      </c>
      <c r="F328" s="17" t="s">
        <v>934</v>
      </c>
      <c r="G328" s="18" t="s">
        <v>935</v>
      </c>
      <c r="H328" s="17">
        <v>1491</v>
      </c>
      <c r="I328" s="17">
        <v>10</v>
      </c>
      <c r="J328" s="26">
        <v>0.006800766</v>
      </c>
      <c r="K328" s="20">
        <f t="shared" si="11"/>
        <v>0.000600766</v>
      </c>
      <c r="L328" s="20" t="s">
        <v>314</v>
      </c>
    </row>
    <row r="329" ht="41.25" customHeight="1" spans="1:12">
      <c r="A329" s="14" t="s">
        <v>936</v>
      </c>
      <c r="B329" s="15" t="s">
        <v>937</v>
      </c>
      <c r="C329" s="14">
        <v>1628</v>
      </c>
      <c r="D329" s="14">
        <v>7</v>
      </c>
      <c r="E329" s="16">
        <v>0.0043</v>
      </c>
      <c r="F329" s="17" t="s">
        <v>936</v>
      </c>
      <c r="G329" s="18" t="s">
        <v>159</v>
      </c>
      <c r="H329" s="17">
        <v>207</v>
      </c>
      <c r="I329" s="17">
        <v>1</v>
      </c>
      <c r="J329" s="26">
        <v>0.008934708</v>
      </c>
      <c r="K329" s="20">
        <f t="shared" si="11"/>
        <v>0.004634708</v>
      </c>
      <c r="L329" s="20" t="s">
        <v>314</v>
      </c>
    </row>
    <row r="330" ht="68.25" customHeight="1" spans="1:12">
      <c r="A330" s="14" t="s">
        <v>938</v>
      </c>
      <c r="B330" s="15" t="s">
        <v>939</v>
      </c>
      <c r="C330" s="14">
        <v>374</v>
      </c>
      <c r="D330" s="14">
        <v>2</v>
      </c>
      <c r="E330" s="16">
        <v>0.0069</v>
      </c>
      <c r="F330" s="17" t="s">
        <v>938</v>
      </c>
      <c r="G330" s="21" t="s">
        <v>160</v>
      </c>
      <c r="H330" s="17">
        <v>1597</v>
      </c>
      <c r="I330" s="17">
        <v>6</v>
      </c>
      <c r="J330" s="26">
        <v>0.003935951</v>
      </c>
      <c r="K330" s="20">
        <f t="shared" si="11"/>
        <v>-0.002964049</v>
      </c>
      <c r="L330" s="20" t="s">
        <v>314</v>
      </c>
    </row>
    <row r="331" ht="54.75" customHeight="1" spans="1:12">
      <c r="A331" s="14" t="s">
        <v>940</v>
      </c>
      <c r="B331" s="15" t="s">
        <v>941</v>
      </c>
      <c r="C331" s="14">
        <v>1688</v>
      </c>
      <c r="D331" s="14">
        <v>11</v>
      </c>
      <c r="E331" s="16">
        <v>0.007</v>
      </c>
      <c r="F331" s="17" t="s">
        <v>940</v>
      </c>
      <c r="G331" s="21" t="s">
        <v>208</v>
      </c>
      <c r="H331" s="17">
        <v>1574</v>
      </c>
      <c r="I331" s="17">
        <v>17</v>
      </c>
      <c r="J331" s="19">
        <v>0.010978044</v>
      </c>
      <c r="K331" s="20">
        <f t="shared" si="11"/>
        <v>0.003978044</v>
      </c>
      <c r="L331" s="20"/>
    </row>
    <row r="332" ht="68.25" customHeight="1" spans="1:12">
      <c r="A332" s="14" t="s">
        <v>942</v>
      </c>
      <c r="B332" s="15" t="s">
        <v>943</v>
      </c>
      <c r="C332" s="14">
        <v>1669</v>
      </c>
      <c r="D332" s="14">
        <v>6</v>
      </c>
      <c r="E332" s="16">
        <v>0.0039</v>
      </c>
      <c r="F332" s="17" t="s">
        <v>942</v>
      </c>
      <c r="G332" s="21" t="s">
        <v>161</v>
      </c>
      <c r="H332" s="17">
        <v>1574</v>
      </c>
      <c r="I332" s="17">
        <v>8</v>
      </c>
      <c r="J332" s="26">
        <v>0.005170537</v>
      </c>
      <c r="K332" s="20">
        <f t="shared" si="11"/>
        <v>0.001270537</v>
      </c>
      <c r="L332" s="20" t="s">
        <v>314</v>
      </c>
    </row>
    <row r="333" ht="41.25" customHeight="1" spans="1:12">
      <c r="A333" s="14" t="s">
        <v>944</v>
      </c>
      <c r="B333" s="15" t="s">
        <v>945</v>
      </c>
      <c r="C333" s="14"/>
      <c r="D333" s="14"/>
      <c r="E333" s="14"/>
      <c r="F333" s="17" t="s">
        <v>944</v>
      </c>
      <c r="G333" s="21" t="s">
        <v>946</v>
      </c>
      <c r="H333" s="17">
        <v>1466</v>
      </c>
      <c r="I333" s="17">
        <v>11</v>
      </c>
      <c r="J333" s="26">
        <v>0.007696804</v>
      </c>
      <c r="K333" s="20">
        <f t="shared" si="11"/>
        <v>0.007696804</v>
      </c>
      <c r="L333" s="20" t="s">
        <v>314</v>
      </c>
    </row>
    <row r="334" ht="54.75" customHeight="1" spans="1:12">
      <c r="A334" s="14" t="s">
        <v>947</v>
      </c>
      <c r="B334" s="15" t="s">
        <v>948</v>
      </c>
      <c r="C334" s="14">
        <v>1671</v>
      </c>
      <c r="D334" s="14">
        <v>18</v>
      </c>
      <c r="E334" s="16">
        <v>0.0109</v>
      </c>
      <c r="F334" s="17" t="s">
        <v>947</v>
      </c>
      <c r="G334" s="18" t="s">
        <v>948</v>
      </c>
      <c r="H334" s="17">
        <v>1546</v>
      </c>
      <c r="I334" s="17">
        <v>19</v>
      </c>
      <c r="J334" s="19">
        <v>0.01265472</v>
      </c>
      <c r="K334" s="20">
        <f t="shared" si="11"/>
        <v>0.00175472</v>
      </c>
      <c r="L334" s="20"/>
    </row>
    <row r="335" ht="41.25" customHeight="1" spans="1:12">
      <c r="A335" s="14" t="s">
        <v>949</v>
      </c>
      <c r="B335" s="15" t="s">
        <v>950</v>
      </c>
      <c r="C335" s="14">
        <v>1651</v>
      </c>
      <c r="D335" s="14">
        <v>12</v>
      </c>
      <c r="E335" s="16">
        <v>0.0074</v>
      </c>
      <c r="F335" s="17" t="s">
        <v>949</v>
      </c>
      <c r="G335" s="21" t="s">
        <v>209</v>
      </c>
      <c r="H335" s="17">
        <v>224</v>
      </c>
      <c r="I335" s="17">
        <v>3</v>
      </c>
      <c r="J335" s="19">
        <v>0.01525747</v>
      </c>
      <c r="K335" s="20">
        <f t="shared" si="11"/>
        <v>0.00785747</v>
      </c>
      <c r="L335" s="20"/>
    </row>
    <row r="336" ht="27.75" customHeight="1" spans="1:12">
      <c r="A336" s="14" t="s">
        <v>951</v>
      </c>
      <c r="B336" s="15" t="s">
        <v>952</v>
      </c>
      <c r="C336" s="14">
        <v>1731</v>
      </c>
      <c r="D336" s="14">
        <v>25</v>
      </c>
      <c r="E336" s="16">
        <v>0.0146</v>
      </c>
      <c r="F336" s="17" t="s">
        <v>951</v>
      </c>
      <c r="G336" s="18" t="s">
        <v>952</v>
      </c>
      <c r="H336" s="17"/>
      <c r="I336" s="17"/>
      <c r="J336" s="19"/>
      <c r="K336" s="20"/>
      <c r="L336" s="20"/>
    </row>
    <row r="337" ht="41.25" customHeight="1" spans="1:12">
      <c r="A337" s="14" t="s">
        <v>953</v>
      </c>
      <c r="B337" s="15" t="s">
        <v>954</v>
      </c>
      <c r="C337" s="14">
        <v>1808</v>
      </c>
      <c r="D337" s="14">
        <v>22</v>
      </c>
      <c r="E337" s="16">
        <v>0.0126</v>
      </c>
      <c r="F337" s="17" t="s">
        <v>953</v>
      </c>
      <c r="G337" s="18" t="s">
        <v>954</v>
      </c>
      <c r="H337" s="17">
        <v>1623</v>
      </c>
      <c r="I337" s="17">
        <v>21</v>
      </c>
      <c r="J337" s="19">
        <v>0.013289914</v>
      </c>
      <c r="K337" s="20">
        <f t="shared" ref="K337:K367" si="12">J337-E337</f>
        <v>0.000689914</v>
      </c>
      <c r="L337" s="20"/>
    </row>
    <row r="338" ht="41.25" customHeight="1" spans="1:12">
      <c r="A338" s="14" t="s">
        <v>955</v>
      </c>
      <c r="B338" s="15" t="s">
        <v>956</v>
      </c>
      <c r="C338" s="14">
        <v>1827</v>
      </c>
      <c r="D338" s="14">
        <v>11</v>
      </c>
      <c r="E338" s="16">
        <v>0.0065</v>
      </c>
      <c r="F338" s="17" t="s">
        <v>955</v>
      </c>
      <c r="G338" s="21" t="s">
        <v>231</v>
      </c>
      <c r="H338" s="17">
        <v>1592</v>
      </c>
      <c r="I338" s="17">
        <v>13</v>
      </c>
      <c r="J338" s="26">
        <v>0.008165096</v>
      </c>
      <c r="K338" s="20">
        <f t="shared" si="12"/>
        <v>0.001665096</v>
      </c>
      <c r="L338" s="20" t="s">
        <v>314</v>
      </c>
    </row>
    <row r="339" ht="54.75" customHeight="1" spans="1:12">
      <c r="A339" s="14" t="s">
        <v>957</v>
      </c>
      <c r="B339" s="15" t="s">
        <v>958</v>
      </c>
      <c r="C339" s="14">
        <v>1545</v>
      </c>
      <c r="D339" s="14">
        <v>13</v>
      </c>
      <c r="E339" s="16">
        <v>0.0087</v>
      </c>
      <c r="F339" s="17" t="s">
        <v>957</v>
      </c>
      <c r="G339" s="21" t="s">
        <v>234</v>
      </c>
      <c r="H339" s="17">
        <v>1113</v>
      </c>
      <c r="I339" s="17">
        <v>13</v>
      </c>
      <c r="J339" s="19">
        <v>0.012442278</v>
      </c>
      <c r="K339" s="20">
        <f t="shared" si="12"/>
        <v>0.003742278</v>
      </c>
      <c r="L339" s="20"/>
    </row>
    <row r="340" ht="68.25" customHeight="1" spans="1:12">
      <c r="A340" s="14" t="s">
        <v>959</v>
      </c>
      <c r="B340" s="15" t="s">
        <v>960</v>
      </c>
      <c r="C340" s="14">
        <v>1781</v>
      </c>
      <c r="D340" s="14">
        <v>16</v>
      </c>
      <c r="E340" s="16">
        <v>0.0093</v>
      </c>
      <c r="F340" s="17" t="s">
        <v>959</v>
      </c>
      <c r="G340" s="21" t="s">
        <v>235</v>
      </c>
      <c r="H340" s="17">
        <v>1617</v>
      </c>
      <c r="I340" s="17">
        <v>6</v>
      </c>
      <c r="J340" s="26">
        <v>0.004062528</v>
      </c>
      <c r="K340" s="27">
        <f t="shared" si="12"/>
        <v>-0.005237472</v>
      </c>
      <c r="L340" s="24" t="s">
        <v>333</v>
      </c>
    </row>
    <row r="341" ht="54.75" customHeight="1" spans="1:12">
      <c r="A341" s="14" t="s">
        <v>961</v>
      </c>
      <c r="B341" s="15" t="s">
        <v>962</v>
      </c>
      <c r="C341" s="14">
        <v>1678</v>
      </c>
      <c r="D341" s="14">
        <v>19</v>
      </c>
      <c r="E341" s="16">
        <v>0.0118</v>
      </c>
      <c r="F341" s="17" t="s">
        <v>961</v>
      </c>
      <c r="G341" s="18" t="s">
        <v>962</v>
      </c>
      <c r="H341" s="17">
        <v>787</v>
      </c>
      <c r="I341" s="17">
        <v>9</v>
      </c>
      <c r="J341" s="19">
        <v>0.012524959</v>
      </c>
      <c r="K341" s="20">
        <f t="shared" si="12"/>
        <v>0.000724959000000001</v>
      </c>
      <c r="L341" s="20"/>
    </row>
    <row r="342" ht="54.75" customHeight="1" spans="1:12">
      <c r="A342" s="14" t="s">
        <v>963</v>
      </c>
      <c r="B342" s="15" t="s">
        <v>964</v>
      </c>
      <c r="C342" s="14">
        <v>1488</v>
      </c>
      <c r="D342" s="14">
        <v>14</v>
      </c>
      <c r="E342" s="16">
        <v>0.0094</v>
      </c>
      <c r="F342" s="17" t="s">
        <v>963</v>
      </c>
      <c r="G342" s="21" t="s">
        <v>236</v>
      </c>
      <c r="H342" s="17">
        <v>941</v>
      </c>
      <c r="I342" s="17">
        <v>10</v>
      </c>
      <c r="J342" s="19">
        <v>0.011386063</v>
      </c>
      <c r="K342" s="20">
        <f t="shared" si="12"/>
        <v>0.001986063</v>
      </c>
      <c r="L342" s="20"/>
    </row>
    <row r="343" ht="54.75" customHeight="1" spans="1:12">
      <c r="A343" s="14" t="s">
        <v>965</v>
      </c>
      <c r="B343" s="15" t="s">
        <v>966</v>
      </c>
      <c r="C343" s="14">
        <v>1662</v>
      </c>
      <c r="D343" s="14">
        <v>13</v>
      </c>
      <c r="E343" s="16">
        <v>0.0079</v>
      </c>
      <c r="F343" s="17" t="s">
        <v>965</v>
      </c>
      <c r="G343" s="21" t="s">
        <v>224</v>
      </c>
      <c r="H343" s="17">
        <v>2013</v>
      </c>
      <c r="I343" s="17">
        <v>16</v>
      </c>
      <c r="J343" s="26">
        <v>0.008086827</v>
      </c>
      <c r="K343" s="20">
        <f t="shared" si="12"/>
        <v>0.000186826999999999</v>
      </c>
      <c r="L343" s="20" t="s">
        <v>314</v>
      </c>
    </row>
    <row r="344" ht="27.75" customHeight="1" spans="1:12">
      <c r="A344" s="14" t="s">
        <v>967</v>
      </c>
      <c r="B344" s="15" t="s">
        <v>968</v>
      </c>
      <c r="C344" s="14">
        <v>1710</v>
      </c>
      <c r="D344" s="14">
        <v>18</v>
      </c>
      <c r="E344" s="16">
        <v>0.0107</v>
      </c>
      <c r="F344" s="17" t="s">
        <v>967</v>
      </c>
      <c r="G344" s="18" t="s">
        <v>968</v>
      </c>
      <c r="H344" s="17">
        <v>400</v>
      </c>
      <c r="I344" s="17">
        <v>9</v>
      </c>
      <c r="J344" s="19">
        <v>0.023877406</v>
      </c>
      <c r="K344" s="20">
        <f t="shared" si="12"/>
        <v>0.013177406</v>
      </c>
      <c r="L344" s="20"/>
    </row>
    <row r="345" ht="54.75" customHeight="1" spans="1:12">
      <c r="A345" s="14" t="s">
        <v>969</v>
      </c>
      <c r="B345" s="15" t="s">
        <v>970</v>
      </c>
      <c r="C345" s="14">
        <v>1589</v>
      </c>
      <c r="D345" s="14">
        <v>9</v>
      </c>
      <c r="E345" s="16">
        <v>0.006</v>
      </c>
      <c r="F345" s="17" t="s">
        <v>969</v>
      </c>
      <c r="G345" s="21" t="s">
        <v>225</v>
      </c>
      <c r="H345" s="17">
        <v>444</v>
      </c>
      <c r="I345" s="17">
        <v>5</v>
      </c>
      <c r="J345" s="19">
        <v>0.011257639</v>
      </c>
      <c r="K345" s="20">
        <f t="shared" si="12"/>
        <v>0.005257639</v>
      </c>
      <c r="L345" s="20"/>
    </row>
    <row r="346" ht="68.25" customHeight="1" spans="1:12">
      <c r="A346" s="14" t="s">
        <v>971</v>
      </c>
      <c r="B346" s="15" t="s">
        <v>972</v>
      </c>
      <c r="C346" s="14">
        <v>1685</v>
      </c>
      <c r="D346" s="14">
        <v>8</v>
      </c>
      <c r="E346" s="16">
        <v>0.0052</v>
      </c>
      <c r="F346" s="17" t="s">
        <v>971</v>
      </c>
      <c r="G346" s="21" t="s">
        <v>226</v>
      </c>
      <c r="H346" s="17">
        <v>1713</v>
      </c>
      <c r="I346" s="17">
        <v>6</v>
      </c>
      <c r="J346" s="26">
        <v>0.003917973</v>
      </c>
      <c r="K346" s="20">
        <f t="shared" si="12"/>
        <v>-0.001282027</v>
      </c>
      <c r="L346" s="20" t="s">
        <v>314</v>
      </c>
    </row>
    <row r="347" ht="68.25" customHeight="1" spans="1:12">
      <c r="A347" s="14" t="s">
        <v>973</v>
      </c>
      <c r="B347" s="15" t="s">
        <v>974</v>
      </c>
      <c r="C347" s="14">
        <v>1678</v>
      </c>
      <c r="D347" s="14">
        <v>14</v>
      </c>
      <c r="E347" s="16">
        <v>0.0089</v>
      </c>
      <c r="F347" s="17" t="s">
        <v>973</v>
      </c>
      <c r="G347" s="21" t="s">
        <v>227</v>
      </c>
      <c r="H347" s="17">
        <v>1710</v>
      </c>
      <c r="I347" s="17">
        <v>13</v>
      </c>
      <c r="J347" s="26">
        <v>0.007935845</v>
      </c>
      <c r="K347" s="20">
        <f t="shared" si="12"/>
        <v>-0.000964155</v>
      </c>
      <c r="L347" s="20" t="s">
        <v>314</v>
      </c>
    </row>
    <row r="348" ht="68.25" customHeight="1" spans="1:12">
      <c r="A348" s="14" t="s">
        <v>975</v>
      </c>
      <c r="B348" s="15" t="s">
        <v>976</v>
      </c>
      <c r="C348" s="14">
        <v>1447</v>
      </c>
      <c r="D348" s="14">
        <v>8</v>
      </c>
      <c r="E348" s="16">
        <v>0.006</v>
      </c>
      <c r="F348" s="17" t="s">
        <v>975</v>
      </c>
      <c r="G348" s="21" t="s">
        <v>228</v>
      </c>
      <c r="H348" s="17">
        <v>1599</v>
      </c>
      <c r="I348" s="17">
        <v>8</v>
      </c>
      <c r="J348" s="26">
        <v>0.005180884</v>
      </c>
      <c r="K348" s="20">
        <f t="shared" si="12"/>
        <v>-0.000819116</v>
      </c>
      <c r="L348" s="20" t="s">
        <v>314</v>
      </c>
    </row>
    <row r="349" ht="68.25" customHeight="1" spans="1:12">
      <c r="A349" s="14" t="s">
        <v>977</v>
      </c>
      <c r="B349" s="15" t="s">
        <v>978</v>
      </c>
      <c r="C349" s="14">
        <v>1516</v>
      </c>
      <c r="D349" s="14">
        <v>12</v>
      </c>
      <c r="E349" s="16">
        <v>0.0079</v>
      </c>
      <c r="F349" s="17" t="s">
        <v>977</v>
      </c>
      <c r="G349" s="21" t="s">
        <v>229</v>
      </c>
      <c r="H349" s="17">
        <v>1645</v>
      </c>
      <c r="I349" s="17">
        <v>3</v>
      </c>
      <c r="J349" s="26">
        <v>0.002083695</v>
      </c>
      <c r="K349" s="27">
        <f t="shared" si="12"/>
        <v>-0.005816305</v>
      </c>
      <c r="L349" s="24" t="s">
        <v>333</v>
      </c>
    </row>
    <row r="350" ht="68.25" customHeight="1" spans="1:12">
      <c r="A350" s="14" t="s">
        <v>979</v>
      </c>
      <c r="B350" s="15" t="s">
        <v>980</v>
      </c>
      <c r="C350" s="14">
        <v>1764</v>
      </c>
      <c r="D350" s="14">
        <v>9</v>
      </c>
      <c r="E350" s="16">
        <v>0.0056</v>
      </c>
      <c r="F350" s="17" t="s">
        <v>979</v>
      </c>
      <c r="G350" s="21" t="s">
        <v>230</v>
      </c>
      <c r="H350" s="17">
        <v>1605</v>
      </c>
      <c r="I350" s="17">
        <v>7</v>
      </c>
      <c r="J350" s="26">
        <v>0.004803843</v>
      </c>
      <c r="K350" s="20">
        <f t="shared" si="12"/>
        <v>-0.000796157</v>
      </c>
      <c r="L350" s="20" t="s">
        <v>314</v>
      </c>
    </row>
    <row r="351" ht="54.75" customHeight="1" spans="1:12">
      <c r="A351" s="14" t="s">
        <v>981</v>
      </c>
      <c r="B351" s="15" t="s">
        <v>982</v>
      </c>
      <c r="C351" s="14">
        <v>1693</v>
      </c>
      <c r="D351" s="14">
        <v>11</v>
      </c>
      <c r="E351" s="16">
        <v>0.0068</v>
      </c>
      <c r="F351" s="17" t="s">
        <v>981</v>
      </c>
      <c r="G351" s="21" t="s">
        <v>232</v>
      </c>
      <c r="H351" s="17">
        <v>418</v>
      </c>
      <c r="I351" s="17">
        <v>3</v>
      </c>
      <c r="J351" s="26">
        <v>0.009218163</v>
      </c>
      <c r="K351" s="20">
        <f t="shared" si="12"/>
        <v>0.002418163</v>
      </c>
      <c r="L351" s="20" t="s">
        <v>314</v>
      </c>
    </row>
    <row r="352" ht="68.25" customHeight="1" spans="1:12">
      <c r="A352" s="14" t="s">
        <v>983</v>
      </c>
      <c r="B352" s="15" t="s">
        <v>984</v>
      </c>
      <c r="C352" s="14">
        <v>1770</v>
      </c>
      <c r="D352" s="14">
        <v>8</v>
      </c>
      <c r="E352" s="16">
        <v>0.005</v>
      </c>
      <c r="F352" s="17" t="s">
        <v>983</v>
      </c>
      <c r="G352" s="18" t="s">
        <v>174</v>
      </c>
      <c r="H352" s="17">
        <v>1545</v>
      </c>
      <c r="I352" s="17">
        <v>7</v>
      </c>
      <c r="J352" s="26">
        <v>0.004714801</v>
      </c>
      <c r="K352" s="20">
        <f t="shared" si="12"/>
        <v>-0.000285199</v>
      </c>
      <c r="L352" s="20" t="s">
        <v>314</v>
      </c>
    </row>
    <row r="353" ht="68.25" customHeight="1" spans="1:12">
      <c r="A353" s="14" t="s">
        <v>985</v>
      </c>
      <c r="B353" s="15" t="s">
        <v>986</v>
      </c>
      <c r="C353" s="14">
        <v>1689</v>
      </c>
      <c r="D353" s="14">
        <v>10</v>
      </c>
      <c r="E353" s="16">
        <v>0.0059</v>
      </c>
      <c r="F353" s="17" t="s">
        <v>985</v>
      </c>
      <c r="G353" s="18" t="s">
        <v>175</v>
      </c>
      <c r="H353" s="17">
        <v>1453</v>
      </c>
      <c r="I353" s="17">
        <v>5</v>
      </c>
      <c r="J353" s="26">
        <v>0.003931204</v>
      </c>
      <c r="K353" s="20">
        <f t="shared" si="12"/>
        <v>-0.001968796</v>
      </c>
      <c r="L353" s="20" t="s">
        <v>314</v>
      </c>
    </row>
    <row r="354" ht="68.25" customHeight="1" spans="1:12">
      <c r="A354" s="14" t="s">
        <v>987</v>
      </c>
      <c r="B354" s="15" t="s">
        <v>988</v>
      </c>
      <c r="C354" s="14">
        <v>1776</v>
      </c>
      <c r="D354" s="14">
        <v>12</v>
      </c>
      <c r="E354" s="16">
        <v>0.0071</v>
      </c>
      <c r="F354" s="17" t="s">
        <v>987</v>
      </c>
      <c r="G354" s="21" t="s">
        <v>233</v>
      </c>
      <c r="H354" s="17">
        <v>1504</v>
      </c>
      <c r="I354" s="17">
        <v>6</v>
      </c>
      <c r="J354" s="26">
        <v>0.004178538</v>
      </c>
      <c r="K354" s="20">
        <f t="shared" si="12"/>
        <v>-0.002921462</v>
      </c>
      <c r="L354" s="20" t="s">
        <v>314</v>
      </c>
    </row>
    <row r="355" ht="68.25" customHeight="1" spans="1:12">
      <c r="A355" s="14" t="s">
        <v>989</v>
      </c>
      <c r="B355" s="15" t="s">
        <v>990</v>
      </c>
      <c r="C355" s="14">
        <v>1771</v>
      </c>
      <c r="D355" s="14">
        <v>9</v>
      </c>
      <c r="E355" s="16">
        <v>0.0056</v>
      </c>
      <c r="F355" s="17" t="s">
        <v>989</v>
      </c>
      <c r="G355" s="21" t="s">
        <v>176</v>
      </c>
      <c r="H355" s="17">
        <v>1527</v>
      </c>
      <c r="I355" s="17">
        <v>8</v>
      </c>
      <c r="J355" s="26">
        <v>0.005239031</v>
      </c>
      <c r="K355" s="20">
        <f t="shared" si="12"/>
        <v>-0.000360969</v>
      </c>
      <c r="L355" s="20" t="s">
        <v>314</v>
      </c>
    </row>
    <row r="356" ht="68.25" customHeight="1" spans="1:12">
      <c r="A356" s="14" t="s">
        <v>991</v>
      </c>
      <c r="B356" s="15" t="s">
        <v>992</v>
      </c>
      <c r="C356" s="14">
        <v>1802</v>
      </c>
      <c r="D356" s="14">
        <v>17</v>
      </c>
      <c r="E356" s="16">
        <v>0.0099</v>
      </c>
      <c r="F356" s="17" t="s">
        <v>991</v>
      </c>
      <c r="G356" s="21" t="s">
        <v>237</v>
      </c>
      <c r="H356" s="17">
        <v>1536</v>
      </c>
      <c r="I356" s="17">
        <v>14</v>
      </c>
      <c r="J356" s="26">
        <v>0.009202454</v>
      </c>
      <c r="K356" s="20">
        <f t="shared" si="12"/>
        <v>-0.000697546</v>
      </c>
      <c r="L356" s="20" t="s">
        <v>314</v>
      </c>
    </row>
    <row r="357" ht="68.25" customHeight="1" spans="1:12">
      <c r="A357" s="14" t="s">
        <v>993</v>
      </c>
      <c r="B357" s="15" t="s">
        <v>994</v>
      </c>
      <c r="C357" s="14">
        <v>1370</v>
      </c>
      <c r="D357" s="14">
        <v>14</v>
      </c>
      <c r="E357" s="16">
        <v>0.0107</v>
      </c>
      <c r="F357" s="17" t="s">
        <v>993</v>
      </c>
      <c r="G357" s="18" t="s">
        <v>994</v>
      </c>
      <c r="H357" s="17">
        <v>1527</v>
      </c>
      <c r="I357" s="17">
        <v>13</v>
      </c>
      <c r="J357" s="26">
        <v>0.008794087</v>
      </c>
      <c r="K357" s="20">
        <f t="shared" si="12"/>
        <v>-0.001905913</v>
      </c>
      <c r="L357" s="20" t="s">
        <v>314</v>
      </c>
    </row>
    <row r="358" ht="41.25" customHeight="1" spans="1:12">
      <c r="A358" s="14" t="s">
        <v>995</v>
      </c>
      <c r="B358" s="15" t="s">
        <v>996</v>
      </c>
      <c r="C358" s="14">
        <v>1753</v>
      </c>
      <c r="D358" s="14">
        <v>15</v>
      </c>
      <c r="E358" s="16">
        <v>0.009</v>
      </c>
      <c r="F358" s="17" t="s">
        <v>995</v>
      </c>
      <c r="G358" s="18" t="s">
        <v>242</v>
      </c>
      <c r="H358" s="17">
        <v>306</v>
      </c>
      <c r="I358" s="17">
        <v>3</v>
      </c>
      <c r="J358" s="19">
        <v>0.010737628</v>
      </c>
      <c r="K358" s="20">
        <f t="shared" si="12"/>
        <v>0.001737628</v>
      </c>
      <c r="L358" s="20"/>
    </row>
    <row r="359" ht="68.25" customHeight="1" spans="1:12">
      <c r="A359" s="14" t="s">
        <v>997</v>
      </c>
      <c r="B359" s="15" t="s">
        <v>998</v>
      </c>
      <c r="C359" s="14">
        <v>1804</v>
      </c>
      <c r="D359" s="14">
        <v>10</v>
      </c>
      <c r="E359" s="16">
        <v>0.0059</v>
      </c>
      <c r="F359" s="17" t="s">
        <v>997</v>
      </c>
      <c r="G359" s="21" t="s">
        <v>243</v>
      </c>
      <c r="H359" s="17">
        <v>2185</v>
      </c>
      <c r="I359" s="17">
        <v>6</v>
      </c>
      <c r="J359" s="26">
        <v>0.003072096</v>
      </c>
      <c r="K359" s="20">
        <f t="shared" si="12"/>
        <v>-0.002827904</v>
      </c>
      <c r="L359" s="20" t="s">
        <v>314</v>
      </c>
    </row>
    <row r="360" ht="68.25" customHeight="1" spans="1:12">
      <c r="A360" s="14" t="s">
        <v>999</v>
      </c>
      <c r="B360" s="15" t="s">
        <v>1000</v>
      </c>
      <c r="C360" s="14">
        <v>1684</v>
      </c>
      <c r="D360" s="14">
        <v>15</v>
      </c>
      <c r="E360" s="16">
        <v>0.0089</v>
      </c>
      <c r="F360" s="17" t="s">
        <v>999</v>
      </c>
      <c r="G360" s="21" t="s">
        <v>244</v>
      </c>
      <c r="H360" s="17">
        <v>2017</v>
      </c>
      <c r="I360" s="17">
        <v>11</v>
      </c>
      <c r="J360" s="26">
        <v>0.00566492</v>
      </c>
      <c r="K360" s="20">
        <f t="shared" si="12"/>
        <v>-0.00323508</v>
      </c>
      <c r="L360" s="20" t="s">
        <v>314</v>
      </c>
    </row>
    <row r="361" ht="68.25" customHeight="1" spans="1:12">
      <c r="A361" s="14" t="s">
        <v>1001</v>
      </c>
      <c r="B361" s="15" t="s">
        <v>1002</v>
      </c>
      <c r="C361" s="14">
        <v>1564</v>
      </c>
      <c r="D361" s="14">
        <v>10</v>
      </c>
      <c r="E361" s="16">
        <v>0.0065</v>
      </c>
      <c r="F361" s="17" t="s">
        <v>1001</v>
      </c>
      <c r="G361" s="21" t="s">
        <v>245</v>
      </c>
      <c r="H361" s="17">
        <v>2115</v>
      </c>
      <c r="I361" s="17">
        <v>10</v>
      </c>
      <c r="J361" s="26">
        <v>0.004726855</v>
      </c>
      <c r="K361" s="20">
        <f t="shared" si="12"/>
        <v>-0.001773145</v>
      </c>
      <c r="L361" s="20" t="s">
        <v>314</v>
      </c>
    </row>
    <row r="362" ht="68.25" customHeight="1" spans="1:12">
      <c r="A362" s="14" t="s">
        <v>1003</v>
      </c>
      <c r="B362" s="15" t="s">
        <v>1004</v>
      </c>
      <c r="C362" s="14">
        <v>1840</v>
      </c>
      <c r="D362" s="14">
        <v>11</v>
      </c>
      <c r="E362" s="16">
        <v>0.0063</v>
      </c>
      <c r="F362" s="17" t="s">
        <v>1003</v>
      </c>
      <c r="G362" s="18" t="s">
        <v>178</v>
      </c>
      <c r="H362" s="17">
        <v>2371</v>
      </c>
      <c r="I362" s="17">
        <v>12</v>
      </c>
      <c r="J362" s="26">
        <v>0.0053608</v>
      </c>
      <c r="K362" s="20">
        <f t="shared" si="12"/>
        <v>-0.0009392</v>
      </c>
      <c r="L362" s="20" t="s">
        <v>314</v>
      </c>
    </row>
    <row r="363" ht="41.25" customHeight="1" spans="1:12">
      <c r="A363" s="14" t="s">
        <v>1005</v>
      </c>
      <c r="B363" s="15" t="s">
        <v>1006</v>
      </c>
      <c r="C363" s="14">
        <v>1865</v>
      </c>
      <c r="D363" s="14">
        <v>18</v>
      </c>
      <c r="E363" s="16">
        <v>0.0101</v>
      </c>
      <c r="F363" s="17" t="s">
        <v>1005</v>
      </c>
      <c r="G363" s="21" t="s">
        <v>238</v>
      </c>
      <c r="H363" s="17">
        <v>485</v>
      </c>
      <c r="I363" s="17">
        <v>4</v>
      </c>
      <c r="J363" s="26">
        <v>0.009714454</v>
      </c>
      <c r="K363" s="20">
        <f t="shared" si="12"/>
        <v>-0.000385545999999999</v>
      </c>
      <c r="L363" s="20" t="s">
        <v>314</v>
      </c>
    </row>
    <row r="364" ht="68.25" customHeight="1" spans="1:12">
      <c r="A364" s="14" t="s">
        <v>1007</v>
      </c>
      <c r="B364" s="15" t="s">
        <v>1008</v>
      </c>
      <c r="C364" s="14">
        <v>1973</v>
      </c>
      <c r="D364" s="14">
        <v>7</v>
      </c>
      <c r="E364" s="16">
        <v>0.0037</v>
      </c>
      <c r="F364" s="17" t="s">
        <v>1007</v>
      </c>
      <c r="G364" s="18" t="s">
        <v>177</v>
      </c>
      <c r="H364" s="17">
        <v>1646</v>
      </c>
      <c r="I364" s="17">
        <v>8</v>
      </c>
      <c r="J364" s="26">
        <v>0.004944483</v>
      </c>
      <c r="K364" s="20">
        <f t="shared" si="12"/>
        <v>0.001244483</v>
      </c>
      <c r="L364" s="20" t="s">
        <v>314</v>
      </c>
    </row>
    <row r="365" ht="68.25" customHeight="1" spans="1:12">
      <c r="A365" s="14" t="s">
        <v>1009</v>
      </c>
      <c r="B365" s="15" t="s">
        <v>1010</v>
      </c>
      <c r="C365" s="14">
        <v>1441</v>
      </c>
      <c r="D365" s="14">
        <v>11</v>
      </c>
      <c r="E365" s="16">
        <v>0.0079</v>
      </c>
      <c r="F365" s="17" t="s">
        <v>1009</v>
      </c>
      <c r="G365" s="21" t="s">
        <v>239</v>
      </c>
      <c r="H365" s="17">
        <v>1434</v>
      </c>
      <c r="I365" s="17">
        <v>6</v>
      </c>
      <c r="J365" s="26">
        <v>0.004581217</v>
      </c>
      <c r="K365" s="20">
        <f t="shared" si="12"/>
        <v>-0.003318783</v>
      </c>
      <c r="L365" s="20" t="s">
        <v>314</v>
      </c>
    </row>
    <row r="366" ht="68.25" customHeight="1" spans="1:12">
      <c r="A366" s="14" t="s">
        <v>1011</v>
      </c>
      <c r="B366" s="15" t="s">
        <v>1012</v>
      </c>
      <c r="C366" s="14">
        <v>1989</v>
      </c>
      <c r="D366" s="14">
        <v>25</v>
      </c>
      <c r="E366" s="16">
        <v>0.0126</v>
      </c>
      <c r="F366" s="17" t="s">
        <v>1011</v>
      </c>
      <c r="G366" s="18" t="s">
        <v>1012</v>
      </c>
      <c r="H366" s="17">
        <v>1646</v>
      </c>
      <c r="I366" s="17">
        <v>20</v>
      </c>
      <c r="J366" s="19">
        <v>0.01223109</v>
      </c>
      <c r="K366" s="20">
        <f t="shared" si="12"/>
        <v>-0.00036891</v>
      </c>
      <c r="L366" s="20"/>
    </row>
    <row r="367" ht="68.25" customHeight="1" spans="1:12">
      <c r="A367" s="14" t="s">
        <v>1013</v>
      </c>
      <c r="B367" s="15" t="s">
        <v>1014</v>
      </c>
      <c r="C367" s="14">
        <v>1363</v>
      </c>
      <c r="D367" s="14">
        <v>10</v>
      </c>
      <c r="E367" s="16">
        <v>0.0078</v>
      </c>
      <c r="F367" s="17" t="s">
        <v>1013</v>
      </c>
      <c r="G367" s="21" t="s">
        <v>240</v>
      </c>
      <c r="H367" s="17">
        <v>1470</v>
      </c>
      <c r="I367" s="17">
        <v>11</v>
      </c>
      <c r="J367" s="26">
        <v>0.007676611</v>
      </c>
      <c r="K367" s="20">
        <f t="shared" si="12"/>
        <v>-0.000123389</v>
      </c>
      <c r="L367" s="20" t="s">
        <v>314</v>
      </c>
    </row>
    <row r="368" ht="41.25" customHeight="1" spans="1:12">
      <c r="A368" s="14" t="s">
        <v>1015</v>
      </c>
      <c r="B368" s="15" t="s">
        <v>781</v>
      </c>
      <c r="C368" s="14">
        <v>1903</v>
      </c>
      <c r="D368" s="14">
        <v>10</v>
      </c>
      <c r="E368" s="16">
        <v>0.0053</v>
      </c>
      <c r="F368" s="17" t="s">
        <v>1015</v>
      </c>
      <c r="G368" s="21" t="s">
        <v>241</v>
      </c>
      <c r="H368" s="17"/>
      <c r="I368" s="17"/>
      <c r="J368" s="19"/>
      <c r="K368" s="20"/>
      <c r="L368" s="20"/>
    </row>
    <row r="369" ht="54.75" customHeight="1" spans="1:12">
      <c r="A369" s="14" t="s">
        <v>1016</v>
      </c>
      <c r="B369" s="15" t="s">
        <v>1017</v>
      </c>
      <c r="C369" s="14">
        <v>1898</v>
      </c>
      <c r="D369" s="14">
        <v>21</v>
      </c>
      <c r="E369" s="16">
        <v>0.0114</v>
      </c>
      <c r="F369" s="17" t="s">
        <v>1016</v>
      </c>
      <c r="G369" s="18" t="s">
        <v>1017</v>
      </c>
      <c r="H369" s="17">
        <v>1681</v>
      </c>
      <c r="I369" s="17">
        <v>19</v>
      </c>
      <c r="J369" s="19">
        <v>0.011387779</v>
      </c>
      <c r="K369" s="20">
        <f t="shared" ref="K369:K376" si="13">J369-E369</f>
        <v>-1.22209999999998e-5</v>
      </c>
      <c r="L369" s="20"/>
    </row>
    <row r="370" ht="81.75" customHeight="1" spans="1:12">
      <c r="A370" s="14" t="s">
        <v>1018</v>
      </c>
      <c r="B370" s="15" t="s">
        <v>1019</v>
      </c>
      <c r="C370" s="14">
        <v>1887</v>
      </c>
      <c r="D370" s="14">
        <v>7</v>
      </c>
      <c r="E370" s="16">
        <v>0.004</v>
      </c>
      <c r="F370" s="17" t="s">
        <v>1018</v>
      </c>
      <c r="G370" s="18" t="s">
        <v>180</v>
      </c>
      <c r="H370" s="17">
        <v>1631</v>
      </c>
      <c r="I370" s="17">
        <v>8</v>
      </c>
      <c r="J370" s="26">
        <v>0.004904537</v>
      </c>
      <c r="K370" s="20">
        <f t="shared" si="13"/>
        <v>0.000904537</v>
      </c>
      <c r="L370" s="20" t="s">
        <v>314</v>
      </c>
    </row>
    <row r="371" ht="68.25" customHeight="1" spans="1:12">
      <c r="A371" s="14" t="s">
        <v>1020</v>
      </c>
      <c r="B371" s="15" t="s">
        <v>1021</v>
      </c>
      <c r="C371" s="14">
        <v>1840</v>
      </c>
      <c r="D371" s="14">
        <v>13</v>
      </c>
      <c r="E371" s="16">
        <v>0.0075</v>
      </c>
      <c r="F371" s="17" t="s">
        <v>1020</v>
      </c>
      <c r="G371" s="21" t="s">
        <v>246</v>
      </c>
      <c r="H371" s="17">
        <v>880</v>
      </c>
      <c r="I371" s="17">
        <v>4</v>
      </c>
      <c r="J371" s="26">
        <v>0.00518975</v>
      </c>
      <c r="K371" s="20">
        <f t="shared" si="13"/>
        <v>-0.00231025</v>
      </c>
      <c r="L371" s="20" t="s">
        <v>314</v>
      </c>
    </row>
    <row r="372" ht="68.25" customHeight="1" spans="1:12">
      <c r="A372" s="14" t="s">
        <v>1022</v>
      </c>
      <c r="B372" s="15" t="s">
        <v>1023</v>
      </c>
      <c r="C372" s="14">
        <v>209</v>
      </c>
      <c r="D372" s="14">
        <v>3</v>
      </c>
      <c r="E372" s="16">
        <v>0.0164</v>
      </c>
      <c r="F372" s="17" t="s">
        <v>1022</v>
      </c>
      <c r="G372" s="18" t="s">
        <v>1023</v>
      </c>
      <c r="H372" s="17">
        <v>1476</v>
      </c>
      <c r="I372" s="17">
        <v>8</v>
      </c>
      <c r="J372" s="26">
        <v>0.005613628</v>
      </c>
      <c r="K372" s="25">
        <f t="shared" si="13"/>
        <v>-0.010786372</v>
      </c>
      <c r="L372" s="20" t="s">
        <v>314</v>
      </c>
    </row>
    <row r="373" ht="68.25" customHeight="1" spans="1:12">
      <c r="A373" s="14" t="s">
        <v>1024</v>
      </c>
      <c r="B373" s="15" t="s">
        <v>1025</v>
      </c>
      <c r="C373" s="14">
        <v>193</v>
      </c>
      <c r="D373" s="14">
        <v>2</v>
      </c>
      <c r="E373" s="16">
        <v>0.0133</v>
      </c>
      <c r="F373" s="17" t="s">
        <v>1024</v>
      </c>
      <c r="G373" s="18" t="s">
        <v>1025</v>
      </c>
      <c r="H373" s="17">
        <v>720</v>
      </c>
      <c r="I373" s="17">
        <v>6</v>
      </c>
      <c r="J373" s="26">
        <v>0.009316155</v>
      </c>
      <c r="K373" s="20">
        <f t="shared" si="13"/>
        <v>-0.003983845</v>
      </c>
      <c r="L373" s="20" t="s">
        <v>314</v>
      </c>
    </row>
    <row r="374" ht="54.75" customHeight="1" spans="1:12">
      <c r="A374" s="14" t="s">
        <v>1026</v>
      </c>
      <c r="B374" s="15" t="s">
        <v>1027</v>
      </c>
      <c r="C374" s="14">
        <v>216</v>
      </c>
      <c r="D374" s="14">
        <v>3</v>
      </c>
      <c r="E374" s="16">
        <v>0.0165</v>
      </c>
      <c r="F374" s="17" t="s">
        <v>1026</v>
      </c>
      <c r="G374" s="18" t="s">
        <v>1027</v>
      </c>
      <c r="H374" s="17">
        <v>508</v>
      </c>
      <c r="I374" s="17">
        <v>5</v>
      </c>
      <c r="J374" s="19">
        <v>0.010399101</v>
      </c>
      <c r="K374" s="25">
        <f t="shared" si="13"/>
        <v>-0.006100899</v>
      </c>
      <c r="L374" s="28"/>
    </row>
    <row r="375" ht="68.25" customHeight="1" spans="1:12">
      <c r="A375" s="14" t="s">
        <v>1028</v>
      </c>
      <c r="B375" s="15" t="s">
        <v>808</v>
      </c>
      <c r="C375" s="14">
        <v>1569</v>
      </c>
      <c r="D375" s="14">
        <v>9</v>
      </c>
      <c r="E375" s="16">
        <v>0.0061</v>
      </c>
      <c r="F375" s="17" t="s">
        <v>1028</v>
      </c>
      <c r="G375" s="21" t="s">
        <v>179</v>
      </c>
      <c r="H375" s="17">
        <v>1736</v>
      </c>
      <c r="I375" s="17">
        <v>10</v>
      </c>
      <c r="J375" s="26">
        <v>0.005758473</v>
      </c>
      <c r="K375" s="20">
        <f t="shared" si="13"/>
        <v>-0.000341527</v>
      </c>
      <c r="L375" s="20" t="s">
        <v>314</v>
      </c>
    </row>
    <row r="376" ht="68.25" customHeight="1" spans="1:12">
      <c r="A376" s="14" t="s">
        <v>1029</v>
      </c>
      <c r="B376" s="15" t="s">
        <v>814</v>
      </c>
      <c r="C376" s="14">
        <v>1570</v>
      </c>
      <c r="D376" s="14">
        <v>13</v>
      </c>
      <c r="E376" s="16">
        <v>0.0087</v>
      </c>
      <c r="F376" s="17" t="s">
        <v>1029</v>
      </c>
      <c r="G376" s="21" t="s">
        <v>146</v>
      </c>
      <c r="H376" s="17">
        <v>1851</v>
      </c>
      <c r="I376" s="17">
        <v>6</v>
      </c>
      <c r="J376" s="26">
        <v>0.0033948</v>
      </c>
      <c r="K376" s="27">
        <f t="shared" si="13"/>
        <v>-0.0053052</v>
      </c>
      <c r="L376" s="24" t="s">
        <v>333</v>
      </c>
    </row>
    <row r="377" ht="54.75" customHeight="1" spans="1:12">
      <c r="A377" s="14" t="s">
        <v>1030</v>
      </c>
      <c r="B377" s="15" t="s">
        <v>1031</v>
      </c>
      <c r="C377" s="14">
        <v>288</v>
      </c>
      <c r="D377" s="14">
        <v>2</v>
      </c>
      <c r="E377" s="16">
        <v>0.0069</v>
      </c>
      <c r="F377" s="17" t="s">
        <v>1030</v>
      </c>
      <c r="G377" s="18" t="s">
        <v>148</v>
      </c>
      <c r="H377" s="17"/>
      <c r="I377" s="17"/>
      <c r="J377" s="19"/>
      <c r="K377" s="20"/>
      <c r="L377" s="20"/>
    </row>
    <row r="378" ht="54.75" customHeight="1" spans="1:12">
      <c r="A378" s="14" t="s">
        <v>1032</v>
      </c>
      <c r="B378" s="15" t="s">
        <v>1033</v>
      </c>
      <c r="C378" s="14">
        <v>1728</v>
      </c>
      <c r="D378" s="14">
        <v>20</v>
      </c>
      <c r="E378" s="16">
        <v>0.0116</v>
      </c>
      <c r="F378" s="17" t="s">
        <v>1032</v>
      </c>
      <c r="G378" s="18" t="s">
        <v>1033</v>
      </c>
      <c r="H378" s="17">
        <v>1912</v>
      </c>
      <c r="I378" s="17">
        <v>20</v>
      </c>
      <c r="J378" s="19">
        <v>0.010754294</v>
      </c>
      <c r="K378" s="20">
        <f t="shared" ref="K378:K403" si="14">J378-E378</f>
        <v>-0.000845706</v>
      </c>
      <c r="L378" s="20"/>
    </row>
    <row r="379" ht="68.25" customHeight="1" spans="1:12">
      <c r="A379" s="14" t="s">
        <v>1034</v>
      </c>
      <c r="B379" s="15" t="s">
        <v>1035</v>
      </c>
      <c r="C379" s="14">
        <v>1712</v>
      </c>
      <c r="D379" s="14">
        <v>10</v>
      </c>
      <c r="E379" s="16">
        <v>0.0062</v>
      </c>
      <c r="F379" s="17" t="s">
        <v>1034</v>
      </c>
      <c r="G379" s="21" t="s">
        <v>247</v>
      </c>
      <c r="H379" s="17">
        <v>1864</v>
      </c>
      <c r="I379" s="17">
        <v>8</v>
      </c>
      <c r="J379" s="26">
        <v>0.004597701</v>
      </c>
      <c r="K379" s="20">
        <f t="shared" si="14"/>
        <v>-0.001602299</v>
      </c>
      <c r="L379" s="20" t="s">
        <v>314</v>
      </c>
    </row>
    <row r="380" ht="68.25" customHeight="1" spans="1:12">
      <c r="A380" s="14" t="s">
        <v>1036</v>
      </c>
      <c r="B380" s="15" t="s">
        <v>1037</v>
      </c>
      <c r="C380" s="14">
        <v>1574</v>
      </c>
      <c r="D380" s="14">
        <v>8</v>
      </c>
      <c r="E380" s="16">
        <v>0.0055</v>
      </c>
      <c r="F380" s="17" t="s">
        <v>1036</v>
      </c>
      <c r="G380" s="21" t="s">
        <v>249</v>
      </c>
      <c r="H380" s="17">
        <v>1336</v>
      </c>
      <c r="I380" s="17">
        <v>8</v>
      </c>
      <c r="J380" s="26">
        <v>0.006521274</v>
      </c>
      <c r="K380" s="20">
        <f t="shared" si="14"/>
        <v>0.001021274</v>
      </c>
      <c r="L380" s="20" t="s">
        <v>314</v>
      </c>
    </row>
    <row r="381" ht="54.75" customHeight="1" spans="1:12">
      <c r="A381" s="14" t="s">
        <v>1038</v>
      </c>
      <c r="B381" s="15" t="s">
        <v>1039</v>
      </c>
      <c r="C381" s="14">
        <v>216</v>
      </c>
      <c r="D381" s="14">
        <v>3</v>
      </c>
      <c r="E381" s="16">
        <v>0.0172</v>
      </c>
      <c r="F381" s="17" t="s">
        <v>1038</v>
      </c>
      <c r="G381" s="18" t="s">
        <v>1039</v>
      </c>
      <c r="H381" s="17">
        <v>764</v>
      </c>
      <c r="I381" s="17">
        <v>12</v>
      </c>
      <c r="J381" s="19">
        <v>0.015695067</v>
      </c>
      <c r="K381" s="20">
        <f t="shared" si="14"/>
        <v>-0.001504933</v>
      </c>
      <c r="L381" s="20"/>
    </row>
    <row r="382" ht="41.25" customHeight="1" spans="1:12">
      <c r="A382" s="14" t="s">
        <v>1040</v>
      </c>
      <c r="B382" s="15" t="s">
        <v>919</v>
      </c>
      <c r="C382" s="14">
        <v>1578</v>
      </c>
      <c r="D382" s="14">
        <v>9</v>
      </c>
      <c r="E382" s="16">
        <v>0.0059</v>
      </c>
      <c r="F382" s="17" t="s">
        <v>1040</v>
      </c>
      <c r="G382" s="18" t="s">
        <v>154</v>
      </c>
      <c r="H382" s="17">
        <v>2706</v>
      </c>
      <c r="I382" s="17">
        <v>12</v>
      </c>
      <c r="J382" s="26">
        <v>0.004487146</v>
      </c>
      <c r="K382" s="20">
        <f t="shared" si="14"/>
        <v>-0.001412854</v>
      </c>
      <c r="L382" s="20" t="s">
        <v>314</v>
      </c>
    </row>
    <row r="383" ht="54.75" customHeight="1" spans="1:12">
      <c r="A383" s="14" t="s">
        <v>1041</v>
      </c>
      <c r="B383" s="15" t="s">
        <v>1042</v>
      </c>
      <c r="C383" s="14">
        <v>219</v>
      </c>
      <c r="D383" s="14">
        <v>6</v>
      </c>
      <c r="E383" s="16">
        <v>0.0273</v>
      </c>
      <c r="F383" s="17" t="s">
        <v>1041</v>
      </c>
      <c r="G383" s="18" t="s">
        <v>1042</v>
      </c>
      <c r="H383" s="17">
        <v>552</v>
      </c>
      <c r="I383" s="17">
        <v>7</v>
      </c>
      <c r="J383" s="19">
        <v>0.013450595</v>
      </c>
      <c r="K383" s="25">
        <f t="shared" si="14"/>
        <v>-0.013849405</v>
      </c>
      <c r="L383" s="28"/>
    </row>
    <row r="384" ht="54.75" customHeight="1" spans="1:12">
      <c r="A384" s="14" t="s">
        <v>1043</v>
      </c>
      <c r="B384" s="15" t="s">
        <v>1044</v>
      </c>
      <c r="C384" s="14">
        <v>226</v>
      </c>
      <c r="D384" s="14">
        <v>4</v>
      </c>
      <c r="E384" s="16">
        <v>0.0183</v>
      </c>
      <c r="F384" s="17" t="s">
        <v>1043</v>
      </c>
      <c r="G384" s="18" t="s">
        <v>1044</v>
      </c>
      <c r="H384" s="17">
        <v>489</v>
      </c>
      <c r="I384" s="17">
        <v>5</v>
      </c>
      <c r="J384" s="19">
        <v>0.011970803</v>
      </c>
      <c r="K384" s="25">
        <f t="shared" si="14"/>
        <v>-0.006329197</v>
      </c>
      <c r="L384" s="28"/>
    </row>
    <row r="385" ht="68.25" customHeight="1" spans="1:12">
      <c r="A385" s="14" t="s">
        <v>1045</v>
      </c>
      <c r="B385" s="15" t="s">
        <v>1046</v>
      </c>
      <c r="C385" s="14">
        <v>1505</v>
      </c>
      <c r="D385" s="14">
        <v>11</v>
      </c>
      <c r="E385" s="16">
        <v>0.0074</v>
      </c>
      <c r="F385" s="17" t="s">
        <v>1045</v>
      </c>
      <c r="G385" s="21" t="s">
        <v>248</v>
      </c>
      <c r="H385" s="17">
        <v>1313</v>
      </c>
      <c r="I385" s="17">
        <v>7</v>
      </c>
      <c r="J385" s="26">
        <v>0.005330142</v>
      </c>
      <c r="K385" s="20">
        <f t="shared" si="14"/>
        <v>-0.002069858</v>
      </c>
      <c r="L385" s="20" t="s">
        <v>314</v>
      </c>
    </row>
    <row r="386" ht="68.25" customHeight="1" spans="1:12">
      <c r="A386" s="14" t="s">
        <v>1047</v>
      </c>
      <c r="B386" s="15" t="s">
        <v>1048</v>
      </c>
      <c r="C386" s="14">
        <v>1582</v>
      </c>
      <c r="D386" s="14">
        <v>17</v>
      </c>
      <c r="E386" s="16">
        <v>0.0108</v>
      </c>
      <c r="F386" s="17" t="s">
        <v>1047</v>
      </c>
      <c r="G386" s="18" t="s">
        <v>1048</v>
      </c>
      <c r="H386" s="17">
        <v>1640</v>
      </c>
      <c r="I386" s="17">
        <v>13</v>
      </c>
      <c r="J386" s="26">
        <v>0.007925449</v>
      </c>
      <c r="K386" s="20">
        <f t="shared" si="14"/>
        <v>-0.002874551</v>
      </c>
      <c r="L386" s="20" t="s">
        <v>314</v>
      </c>
    </row>
    <row r="387" ht="41.25" customHeight="1" spans="1:12">
      <c r="A387" s="14" t="s">
        <v>1049</v>
      </c>
      <c r="B387" s="15" t="s">
        <v>1050</v>
      </c>
      <c r="C387" s="14">
        <v>204</v>
      </c>
      <c r="D387" s="14">
        <v>2</v>
      </c>
      <c r="E387" s="16">
        <v>0.0112</v>
      </c>
      <c r="F387" s="17" t="s">
        <v>1049</v>
      </c>
      <c r="G387" s="18" t="s">
        <v>1050</v>
      </c>
      <c r="H387" s="17">
        <v>936</v>
      </c>
      <c r="I387" s="17">
        <v>5</v>
      </c>
      <c r="J387" s="26">
        <v>0.005951473</v>
      </c>
      <c r="K387" s="25">
        <f t="shared" si="14"/>
        <v>-0.005248527</v>
      </c>
      <c r="L387" s="20" t="s">
        <v>314</v>
      </c>
    </row>
    <row r="388" ht="68.25" customHeight="1" spans="1:12">
      <c r="A388" s="14" t="s">
        <v>1051</v>
      </c>
      <c r="B388" s="15" t="s">
        <v>1052</v>
      </c>
      <c r="C388" s="14">
        <v>1599</v>
      </c>
      <c r="D388" s="14">
        <v>7</v>
      </c>
      <c r="E388" s="16">
        <v>0.0047</v>
      </c>
      <c r="F388" s="17" t="s">
        <v>1051</v>
      </c>
      <c r="G388" s="21" t="s">
        <v>181</v>
      </c>
      <c r="H388" s="17">
        <v>1622</v>
      </c>
      <c r="I388" s="17">
        <v>6</v>
      </c>
      <c r="J388" s="26">
        <v>0.003697183</v>
      </c>
      <c r="K388" s="20">
        <f t="shared" si="14"/>
        <v>-0.001002817</v>
      </c>
      <c r="L388" s="20" t="s">
        <v>314</v>
      </c>
    </row>
    <row r="389" ht="54.75" customHeight="1" spans="1:12">
      <c r="A389" s="14" t="s">
        <v>1053</v>
      </c>
      <c r="B389" s="15" t="s">
        <v>1054</v>
      </c>
      <c r="C389" s="14">
        <v>1707</v>
      </c>
      <c r="D389" s="14">
        <v>22</v>
      </c>
      <c r="E389" s="16">
        <v>0.0132</v>
      </c>
      <c r="F389" s="17" t="s">
        <v>1053</v>
      </c>
      <c r="G389" s="18" t="s">
        <v>1054</v>
      </c>
      <c r="H389" s="17">
        <v>1640</v>
      </c>
      <c r="I389" s="17">
        <v>20</v>
      </c>
      <c r="J389" s="19">
        <v>0.012540277</v>
      </c>
      <c r="K389" s="20">
        <f t="shared" si="14"/>
        <v>-0.000659722999999999</v>
      </c>
      <c r="L389" s="20"/>
    </row>
    <row r="390" ht="54.75" customHeight="1" spans="1:12">
      <c r="A390" s="14" t="s">
        <v>1055</v>
      </c>
      <c r="B390" s="15" t="s">
        <v>1056</v>
      </c>
      <c r="C390" s="14">
        <v>1677</v>
      </c>
      <c r="D390" s="14">
        <v>18</v>
      </c>
      <c r="E390" s="16">
        <v>0.0112</v>
      </c>
      <c r="F390" s="17" t="s">
        <v>1055</v>
      </c>
      <c r="G390" s="18" t="s">
        <v>1056</v>
      </c>
      <c r="H390" s="17">
        <v>1533</v>
      </c>
      <c r="I390" s="17">
        <v>17</v>
      </c>
      <c r="J390" s="19">
        <v>0.011646324</v>
      </c>
      <c r="K390" s="20">
        <f t="shared" si="14"/>
        <v>0.000446324</v>
      </c>
      <c r="L390" s="20"/>
    </row>
    <row r="391" ht="54.75" customHeight="1" spans="1:12">
      <c r="A391" s="14" t="s">
        <v>1057</v>
      </c>
      <c r="B391" s="15" t="s">
        <v>1058</v>
      </c>
      <c r="C391" s="14">
        <v>1574</v>
      </c>
      <c r="D391" s="14">
        <v>9</v>
      </c>
      <c r="E391" s="16">
        <v>0.0059</v>
      </c>
      <c r="F391" s="17" t="s">
        <v>1057</v>
      </c>
      <c r="G391" s="21" t="s">
        <v>183</v>
      </c>
      <c r="H391" s="17">
        <v>2023</v>
      </c>
      <c r="I391" s="17">
        <v>9</v>
      </c>
      <c r="J391" s="26">
        <v>0.004659043</v>
      </c>
      <c r="K391" s="20">
        <f t="shared" si="14"/>
        <v>-0.001240957</v>
      </c>
      <c r="L391" s="20" t="s">
        <v>314</v>
      </c>
    </row>
    <row r="392" ht="54.75" customHeight="1" spans="1:12">
      <c r="A392" s="14" t="s">
        <v>1059</v>
      </c>
      <c r="B392" s="15" t="s">
        <v>1060</v>
      </c>
      <c r="C392" s="14">
        <v>0</v>
      </c>
      <c r="D392" s="14">
        <v>0</v>
      </c>
      <c r="E392" s="16">
        <v>0</v>
      </c>
      <c r="F392" s="17" t="s">
        <v>1059</v>
      </c>
      <c r="G392" s="21" t="s">
        <v>1061</v>
      </c>
      <c r="H392" s="17">
        <v>81</v>
      </c>
      <c r="I392" s="17">
        <v>0</v>
      </c>
      <c r="J392" s="19">
        <v>0.010507881</v>
      </c>
      <c r="K392" s="20">
        <f t="shared" si="14"/>
        <v>0.010507881</v>
      </c>
      <c r="L392" s="20"/>
    </row>
    <row r="393" ht="27.75" customHeight="1" spans="1:12">
      <c r="A393" s="14" t="s">
        <v>1062</v>
      </c>
      <c r="B393" s="15" t="s">
        <v>870</v>
      </c>
      <c r="C393" s="14">
        <v>261</v>
      </c>
      <c r="D393" s="14">
        <v>2</v>
      </c>
      <c r="E393" s="16">
        <v>0.0109</v>
      </c>
      <c r="F393" s="17" t="s">
        <v>1062</v>
      </c>
      <c r="G393" s="18" t="s">
        <v>870</v>
      </c>
      <c r="H393" s="17">
        <v>359</v>
      </c>
      <c r="I393" s="17">
        <v>2</v>
      </c>
      <c r="J393" s="26">
        <v>0.007548669</v>
      </c>
      <c r="K393" s="20">
        <f t="shared" si="14"/>
        <v>-0.003351331</v>
      </c>
      <c r="L393" s="20" t="s">
        <v>314</v>
      </c>
    </row>
    <row r="394" ht="68.25" customHeight="1" spans="1:12">
      <c r="A394" s="14" t="s">
        <v>1063</v>
      </c>
      <c r="B394" s="15" t="s">
        <v>1064</v>
      </c>
      <c r="C394" s="14">
        <v>201</v>
      </c>
      <c r="D394" s="14">
        <v>2</v>
      </c>
      <c r="E394" s="16">
        <v>0.0107</v>
      </c>
      <c r="F394" s="17" t="s">
        <v>1063</v>
      </c>
      <c r="G394" s="21" t="s">
        <v>250</v>
      </c>
      <c r="H394" s="17">
        <v>1072</v>
      </c>
      <c r="I394" s="17">
        <v>5</v>
      </c>
      <c r="J394" s="26">
        <v>0.005062617</v>
      </c>
      <c r="K394" s="27">
        <f t="shared" si="14"/>
        <v>-0.005637383</v>
      </c>
      <c r="L394" s="24" t="s">
        <v>333</v>
      </c>
    </row>
    <row r="395" ht="41.25" customHeight="1" spans="1:12">
      <c r="A395" s="14" t="s">
        <v>1065</v>
      </c>
      <c r="B395" s="15" t="s">
        <v>1066</v>
      </c>
      <c r="C395" s="14">
        <v>240</v>
      </c>
      <c r="D395" s="14">
        <v>3</v>
      </c>
      <c r="E395" s="16">
        <v>0.0155</v>
      </c>
      <c r="F395" s="17" t="s">
        <v>1065</v>
      </c>
      <c r="G395" s="18" t="s">
        <v>1066</v>
      </c>
      <c r="H395" s="17">
        <v>1173</v>
      </c>
      <c r="I395" s="17">
        <v>9</v>
      </c>
      <c r="J395" s="26">
        <v>0.007788731</v>
      </c>
      <c r="K395" s="25">
        <f t="shared" si="14"/>
        <v>-0.007711269</v>
      </c>
      <c r="L395" s="20" t="s">
        <v>314</v>
      </c>
    </row>
    <row r="396" ht="41.25" customHeight="1" spans="1:12">
      <c r="A396" s="14" t="s">
        <v>1067</v>
      </c>
      <c r="B396" s="15" t="s">
        <v>1068</v>
      </c>
      <c r="C396" s="14">
        <v>1604</v>
      </c>
      <c r="D396" s="14">
        <v>9</v>
      </c>
      <c r="E396" s="16">
        <v>0.0061</v>
      </c>
      <c r="F396" s="17" t="s">
        <v>1067</v>
      </c>
      <c r="G396" s="21" t="s">
        <v>251</v>
      </c>
      <c r="H396" s="17">
        <v>1306</v>
      </c>
      <c r="I396" s="17">
        <v>7</v>
      </c>
      <c r="J396" s="26">
        <v>0.005688033</v>
      </c>
      <c r="K396" s="20">
        <f t="shared" si="14"/>
        <v>-0.000411967</v>
      </c>
      <c r="L396" s="20" t="s">
        <v>314</v>
      </c>
    </row>
    <row r="397" ht="54.75" customHeight="1" spans="1:12">
      <c r="A397" s="14" t="s">
        <v>1069</v>
      </c>
      <c r="B397" s="15" t="s">
        <v>1070</v>
      </c>
      <c r="C397" s="14">
        <v>234</v>
      </c>
      <c r="D397" s="14">
        <v>5</v>
      </c>
      <c r="E397" s="16">
        <v>0.0213</v>
      </c>
      <c r="F397" s="17" t="s">
        <v>1069</v>
      </c>
      <c r="G397" s="18" t="s">
        <v>1070</v>
      </c>
      <c r="H397" s="17">
        <v>1359</v>
      </c>
      <c r="I397" s="17">
        <v>15</v>
      </c>
      <c r="J397" s="19">
        <v>0.011563124</v>
      </c>
      <c r="K397" s="25">
        <f t="shared" si="14"/>
        <v>-0.009736876</v>
      </c>
      <c r="L397" s="28"/>
    </row>
    <row r="398" ht="68.25" customHeight="1" spans="1:12">
      <c r="A398" s="14" t="s">
        <v>1071</v>
      </c>
      <c r="B398" s="15" t="s">
        <v>1072</v>
      </c>
      <c r="C398" s="14">
        <v>258</v>
      </c>
      <c r="D398" s="14">
        <v>3</v>
      </c>
      <c r="E398" s="16">
        <v>0.0116</v>
      </c>
      <c r="F398" s="17" t="s">
        <v>1071</v>
      </c>
      <c r="G398" s="18" t="s">
        <v>1072</v>
      </c>
      <c r="H398" s="17">
        <v>1319</v>
      </c>
      <c r="I398" s="17">
        <v>8</v>
      </c>
      <c r="J398" s="26">
        <v>0.006278415</v>
      </c>
      <c r="K398" s="25">
        <f t="shared" si="14"/>
        <v>-0.005321585</v>
      </c>
      <c r="L398" s="20" t="s">
        <v>314</v>
      </c>
    </row>
    <row r="399" ht="68.25" customHeight="1" spans="1:12">
      <c r="A399" s="14" t="s">
        <v>1073</v>
      </c>
      <c r="B399" s="15" t="s">
        <v>1074</v>
      </c>
      <c r="C399" s="14">
        <v>237</v>
      </c>
      <c r="D399" s="14">
        <v>3</v>
      </c>
      <c r="E399" s="16">
        <v>0.0139</v>
      </c>
      <c r="F399" s="17" t="s">
        <v>1073</v>
      </c>
      <c r="G399" s="18" t="s">
        <v>1074</v>
      </c>
      <c r="H399" s="17">
        <v>1291</v>
      </c>
      <c r="I399" s="17">
        <v>11</v>
      </c>
      <c r="J399" s="26">
        <v>0.008514873</v>
      </c>
      <c r="K399" s="25">
        <f t="shared" si="14"/>
        <v>-0.005385127</v>
      </c>
      <c r="L399" s="20" t="s">
        <v>314</v>
      </c>
    </row>
    <row r="400" ht="41.25" customHeight="1" spans="1:12">
      <c r="A400" s="14" t="s">
        <v>1075</v>
      </c>
      <c r="B400" s="15" t="s">
        <v>1076</v>
      </c>
      <c r="C400" s="14">
        <v>1558</v>
      </c>
      <c r="D400" s="14">
        <v>11</v>
      </c>
      <c r="E400" s="16">
        <v>0.0076</v>
      </c>
      <c r="F400" s="17" t="s">
        <v>1075</v>
      </c>
      <c r="G400" s="21" t="s">
        <v>252</v>
      </c>
      <c r="H400" s="17">
        <v>483</v>
      </c>
      <c r="I400" s="17">
        <v>6</v>
      </c>
      <c r="J400" s="19">
        <v>0.01271437</v>
      </c>
      <c r="K400" s="20">
        <f t="shared" si="14"/>
        <v>0.00511437</v>
      </c>
      <c r="L400" s="20"/>
    </row>
    <row r="401" ht="54.75" customHeight="1" spans="1:12">
      <c r="A401" s="14" t="s">
        <v>1077</v>
      </c>
      <c r="B401" s="15" t="s">
        <v>1078</v>
      </c>
      <c r="C401" s="14">
        <v>553</v>
      </c>
      <c r="D401" s="14">
        <v>7</v>
      </c>
      <c r="E401" s="16">
        <v>0.0132</v>
      </c>
      <c r="F401" s="17" t="s">
        <v>1077</v>
      </c>
      <c r="G401" s="18" t="s">
        <v>1078</v>
      </c>
      <c r="H401" s="17">
        <v>360</v>
      </c>
      <c r="I401" s="17">
        <v>4</v>
      </c>
      <c r="J401" s="19">
        <v>0.011489699</v>
      </c>
      <c r="K401" s="20">
        <f t="shared" si="14"/>
        <v>-0.001710301</v>
      </c>
      <c r="L401" s="20"/>
    </row>
    <row r="402" ht="68.25" customHeight="1" spans="1:12">
      <c r="A402" s="14" t="s">
        <v>1079</v>
      </c>
      <c r="B402" s="15" t="s">
        <v>1080</v>
      </c>
      <c r="C402" s="14">
        <v>1601</v>
      </c>
      <c r="D402" s="14">
        <v>7</v>
      </c>
      <c r="E402" s="16">
        <v>0.0044</v>
      </c>
      <c r="F402" s="17" t="s">
        <v>1079</v>
      </c>
      <c r="G402" s="21" t="s">
        <v>182</v>
      </c>
      <c r="H402" s="17">
        <v>1586</v>
      </c>
      <c r="I402" s="17">
        <v>6</v>
      </c>
      <c r="J402" s="26">
        <v>0.003961466</v>
      </c>
      <c r="K402" s="20">
        <f t="shared" si="14"/>
        <v>-0.000438534</v>
      </c>
      <c r="L402" s="20" t="s">
        <v>314</v>
      </c>
    </row>
    <row r="403" ht="41.25" customHeight="1" spans="1:12">
      <c r="A403" s="14" t="s">
        <v>1081</v>
      </c>
      <c r="B403" s="15" t="s">
        <v>1082</v>
      </c>
      <c r="C403" s="14">
        <v>616</v>
      </c>
      <c r="D403" s="14">
        <v>5</v>
      </c>
      <c r="E403" s="16">
        <v>0.0095</v>
      </c>
      <c r="F403" s="17" t="s">
        <v>1081</v>
      </c>
      <c r="G403" s="21" t="s">
        <v>253</v>
      </c>
      <c r="H403" s="17">
        <v>629</v>
      </c>
      <c r="I403" s="17">
        <v>5</v>
      </c>
      <c r="J403" s="26">
        <v>0.008399546</v>
      </c>
      <c r="K403" s="20">
        <f t="shared" si="14"/>
        <v>-0.001100454</v>
      </c>
      <c r="L403" s="20" t="s">
        <v>314</v>
      </c>
    </row>
    <row r="404" ht="41.25" customHeight="1" spans="1:12">
      <c r="A404" s="14" t="s">
        <v>1083</v>
      </c>
      <c r="B404" s="15" t="s">
        <v>1084</v>
      </c>
      <c r="C404" s="14">
        <v>697</v>
      </c>
      <c r="D404" s="14">
        <v>8</v>
      </c>
      <c r="E404" s="16">
        <v>0.0117</v>
      </c>
      <c r="F404" s="17" t="s">
        <v>1083</v>
      </c>
      <c r="G404" s="18" t="s">
        <v>1084</v>
      </c>
      <c r="H404" s="17"/>
      <c r="I404" s="17"/>
      <c r="J404" s="19"/>
      <c r="K404" s="20"/>
      <c r="L404" s="20"/>
    </row>
    <row r="405" ht="54.75" customHeight="1" spans="1:12">
      <c r="A405" s="14" t="s">
        <v>1085</v>
      </c>
      <c r="B405" s="15" t="s">
        <v>1086</v>
      </c>
      <c r="C405" s="14">
        <v>1606</v>
      </c>
      <c r="D405" s="14">
        <v>16</v>
      </c>
      <c r="E405" s="16">
        <v>0.0104</v>
      </c>
      <c r="F405" s="17" t="s">
        <v>1085</v>
      </c>
      <c r="G405" s="18" t="s">
        <v>1086</v>
      </c>
      <c r="H405" s="17">
        <v>1609</v>
      </c>
      <c r="I405" s="17">
        <v>15</v>
      </c>
      <c r="J405" s="26">
        <v>0.009850905</v>
      </c>
      <c r="K405" s="20">
        <f t="shared" ref="K405:K438" si="15">J405-E405</f>
        <v>-0.000549094999999999</v>
      </c>
      <c r="L405" s="20" t="s">
        <v>314</v>
      </c>
    </row>
    <row r="406" ht="68.25" customHeight="1" spans="1:12">
      <c r="A406" s="14" t="s">
        <v>1087</v>
      </c>
      <c r="B406" s="15" t="s">
        <v>1088</v>
      </c>
      <c r="C406" s="14">
        <v>1662</v>
      </c>
      <c r="D406" s="14">
        <v>10</v>
      </c>
      <c r="E406" s="16">
        <v>0.0064</v>
      </c>
      <c r="F406" s="17" t="s">
        <v>1087</v>
      </c>
      <c r="G406" s="21" t="s">
        <v>255</v>
      </c>
      <c r="H406" s="17">
        <v>1605</v>
      </c>
      <c r="I406" s="17">
        <v>4</v>
      </c>
      <c r="J406" s="26">
        <v>0.002758253</v>
      </c>
      <c r="K406" s="20">
        <f t="shared" si="15"/>
        <v>-0.003641747</v>
      </c>
      <c r="L406" s="20" t="s">
        <v>314</v>
      </c>
    </row>
    <row r="407" ht="68.25" customHeight="1" spans="1:12">
      <c r="A407" s="14" t="s">
        <v>1089</v>
      </c>
      <c r="B407" s="15" t="s">
        <v>1090</v>
      </c>
      <c r="C407" s="14">
        <v>416</v>
      </c>
      <c r="D407" s="14">
        <v>4</v>
      </c>
      <c r="E407" s="16">
        <v>0.0096</v>
      </c>
      <c r="F407" s="17" t="s">
        <v>1089</v>
      </c>
      <c r="G407" s="18" t="s">
        <v>1090</v>
      </c>
      <c r="H407" s="17">
        <v>1195</v>
      </c>
      <c r="I407" s="17">
        <v>9</v>
      </c>
      <c r="J407" s="26">
        <v>0.007528681</v>
      </c>
      <c r="K407" s="20">
        <f t="shared" si="15"/>
        <v>-0.002071319</v>
      </c>
      <c r="L407" s="20" t="s">
        <v>314</v>
      </c>
    </row>
    <row r="408" ht="68.25" customHeight="1" spans="1:12">
      <c r="A408" s="14" t="s">
        <v>1091</v>
      </c>
      <c r="B408" s="15" t="s">
        <v>1092</v>
      </c>
      <c r="C408" s="14">
        <v>1552</v>
      </c>
      <c r="D408" s="14">
        <v>10</v>
      </c>
      <c r="E408" s="16">
        <v>0.0069</v>
      </c>
      <c r="F408" s="17" t="s">
        <v>1091</v>
      </c>
      <c r="G408" s="21" t="s">
        <v>256</v>
      </c>
      <c r="H408" s="17">
        <v>1455</v>
      </c>
      <c r="I408" s="17">
        <v>6</v>
      </c>
      <c r="J408" s="26">
        <v>0.004122497</v>
      </c>
      <c r="K408" s="20">
        <f t="shared" si="15"/>
        <v>-0.002777503</v>
      </c>
      <c r="L408" s="20" t="s">
        <v>314</v>
      </c>
    </row>
    <row r="409" ht="41.25" customHeight="1" spans="1:12">
      <c r="A409" s="14" t="s">
        <v>1093</v>
      </c>
      <c r="B409" s="15" t="s">
        <v>1094</v>
      </c>
      <c r="C409" s="14">
        <v>1322</v>
      </c>
      <c r="D409" s="14">
        <v>7</v>
      </c>
      <c r="E409" s="16">
        <v>0.0054</v>
      </c>
      <c r="F409" s="17" t="s">
        <v>1093</v>
      </c>
      <c r="G409" s="21" t="s">
        <v>188</v>
      </c>
      <c r="H409" s="17">
        <v>383</v>
      </c>
      <c r="I409" s="17">
        <v>3</v>
      </c>
      <c r="J409" s="26">
        <v>0.008196721</v>
      </c>
      <c r="K409" s="20">
        <f t="shared" si="15"/>
        <v>0.002796721</v>
      </c>
      <c r="L409" s="20" t="s">
        <v>314</v>
      </c>
    </row>
    <row r="410" ht="41.25" customHeight="1" spans="1:12">
      <c r="A410" s="14" t="s">
        <v>1095</v>
      </c>
      <c r="B410" s="15" t="s">
        <v>1096</v>
      </c>
      <c r="C410" s="14">
        <v>1532</v>
      </c>
      <c r="D410" s="14">
        <v>7</v>
      </c>
      <c r="E410" s="16">
        <v>0.0047</v>
      </c>
      <c r="F410" s="17" t="s">
        <v>1095</v>
      </c>
      <c r="G410" s="21" t="s">
        <v>189</v>
      </c>
      <c r="H410" s="17">
        <v>2293</v>
      </c>
      <c r="I410" s="17">
        <v>16</v>
      </c>
      <c r="J410" s="26">
        <v>0.007288357</v>
      </c>
      <c r="K410" s="20">
        <f t="shared" si="15"/>
        <v>0.002588357</v>
      </c>
      <c r="L410" s="20" t="s">
        <v>314</v>
      </c>
    </row>
    <row r="411" ht="68.25" customHeight="1" spans="1:12">
      <c r="A411" s="14" t="s">
        <v>1097</v>
      </c>
      <c r="B411" s="15" t="s">
        <v>1098</v>
      </c>
      <c r="C411" s="14">
        <v>1605</v>
      </c>
      <c r="D411" s="14">
        <v>15</v>
      </c>
      <c r="E411" s="16">
        <v>0.0096</v>
      </c>
      <c r="F411" s="17" t="s">
        <v>1097</v>
      </c>
      <c r="G411" s="21" t="s">
        <v>257</v>
      </c>
      <c r="H411" s="17">
        <v>2309</v>
      </c>
      <c r="I411" s="17">
        <v>12</v>
      </c>
      <c r="J411" s="26">
        <v>0.005319478</v>
      </c>
      <c r="K411" s="20">
        <f t="shared" si="15"/>
        <v>-0.004280522</v>
      </c>
      <c r="L411" s="20" t="s">
        <v>314</v>
      </c>
    </row>
    <row r="412" ht="68.25" customHeight="1" spans="1:12">
      <c r="A412" s="14" t="s">
        <v>1099</v>
      </c>
      <c r="B412" s="15" t="s">
        <v>913</v>
      </c>
      <c r="C412" s="14">
        <v>1597</v>
      </c>
      <c r="D412" s="14">
        <v>11</v>
      </c>
      <c r="E412" s="16">
        <v>0.0069</v>
      </c>
      <c r="F412" s="17" t="s">
        <v>1099</v>
      </c>
      <c r="G412" s="21" t="s">
        <v>258</v>
      </c>
      <c r="H412" s="17">
        <v>2292</v>
      </c>
      <c r="I412" s="17">
        <v>13</v>
      </c>
      <c r="J412" s="26">
        <v>0.006043614</v>
      </c>
      <c r="K412" s="20">
        <f t="shared" si="15"/>
        <v>-0.000856386</v>
      </c>
      <c r="L412" s="20" t="s">
        <v>314</v>
      </c>
    </row>
    <row r="413" ht="41.25" customHeight="1" spans="1:12">
      <c r="A413" s="14" t="s">
        <v>1100</v>
      </c>
      <c r="B413" s="15" t="s">
        <v>1101</v>
      </c>
      <c r="C413" s="14">
        <v>1307</v>
      </c>
      <c r="D413" s="14">
        <v>4</v>
      </c>
      <c r="E413" s="16">
        <v>0.0035</v>
      </c>
      <c r="F413" s="17" t="s">
        <v>1100</v>
      </c>
      <c r="G413" s="21" t="s">
        <v>190</v>
      </c>
      <c r="H413" s="17">
        <v>436</v>
      </c>
      <c r="I413" s="17">
        <v>4</v>
      </c>
      <c r="J413" s="26">
        <v>0.009498854</v>
      </c>
      <c r="K413" s="20">
        <f t="shared" si="15"/>
        <v>0.005998854</v>
      </c>
      <c r="L413" s="20" t="s">
        <v>314</v>
      </c>
    </row>
    <row r="414" ht="68.25" customHeight="1" spans="1:12">
      <c r="A414" s="14" t="s">
        <v>1102</v>
      </c>
      <c r="B414" s="15" t="s">
        <v>921</v>
      </c>
      <c r="C414" s="14">
        <v>1645</v>
      </c>
      <c r="D414" s="14">
        <v>10</v>
      </c>
      <c r="E414" s="16">
        <v>0.0063</v>
      </c>
      <c r="F414" s="17" t="s">
        <v>1102</v>
      </c>
      <c r="G414" s="18" t="s">
        <v>155</v>
      </c>
      <c r="H414" s="17">
        <v>1624</v>
      </c>
      <c r="I414" s="17">
        <v>9</v>
      </c>
      <c r="J414" s="26">
        <v>0.005714788</v>
      </c>
      <c r="K414" s="20">
        <f t="shared" si="15"/>
        <v>-0.000585212</v>
      </c>
      <c r="L414" s="20" t="s">
        <v>314</v>
      </c>
    </row>
    <row r="415" ht="68.25" customHeight="1" spans="1:12">
      <c r="A415" s="14" t="s">
        <v>1103</v>
      </c>
      <c r="B415" s="15" t="s">
        <v>1104</v>
      </c>
      <c r="C415" s="14">
        <v>1684</v>
      </c>
      <c r="D415" s="14">
        <v>8</v>
      </c>
      <c r="E415" s="16">
        <v>0.0052</v>
      </c>
      <c r="F415" s="17" t="s">
        <v>1103</v>
      </c>
      <c r="G415" s="21" t="s">
        <v>184</v>
      </c>
      <c r="H415" s="17">
        <v>1536</v>
      </c>
      <c r="I415" s="17">
        <v>6</v>
      </c>
      <c r="J415" s="26">
        <v>0.003904071</v>
      </c>
      <c r="K415" s="20">
        <f t="shared" si="15"/>
        <v>-0.001295929</v>
      </c>
      <c r="L415" s="20" t="s">
        <v>314</v>
      </c>
    </row>
    <row r="416" ht="54.75" customHeight="1" spans="1:12">
      <c r="A416" s="14" t="s">
        <v>1105</v>
      </c>
      <c r="B416" s="15" t="s">
        <v>927</v>
      </c>
      <c r="C416" s="14">
        <v>1666</v>
      </c>
      <c r="D416" s="14">
        <v>17</v>
      </c>
      <c r="E416" s="16">
        <v>0.0102</v>
      </c>
      <c r="F416" s="17" t="s">
        <v>1105</v>
      </c>
      <c r="G416" s="21" t="s">
        <v>254</v>
      </c>
      <c r="H416" s="17">
        <v>1571</v>
      </c>
      <c r="I416" s="17">
        <v>6</v>
      </c>
      <c r="J416" s="26">
        <v>0.004182198</v>
      </c>
      <c r="K416" s="27">
        <f t="shared" si="15"/>
        <v>-0.006017802</v>
      </c>
      <c r="L416" s="24" t="s">
        <v>333</v>
      </c>
    </row>
    <row r="417" ht="68.25" customHeight="1" spans="1:12">
      <c r="A417" s="14" t="s">
        <v>1106</v>
      </c>
      <c r="B417" s="15" t="s">
        <v>655</v>
      </c>
      <c r="C417" s="14">
        <v>1600</v>
      </c>
      <c r="D417" s="14">
        <v>7</v>
      </c>
      <c r="E417" s="16">
        <v>0.0048</v>
      </c>
      <c r="F417" s="17" t="s">
        <v>1106</v>
      </c>
      <c r="G417" s="21" t="s">
        <v>185</v>
      </c>
      <c r="H417" s="17">
        <v>1540</v>
      </c>
      <c r="I417" s="17">
        <v>7</v>
      </c>
      <c r="J417" s="26">
        <v>0.004638219</v>
      </c>
      <c r="K417" s="20">
        <f t="shared" si="15"/>
        <v>-0.000161781</v>
      </c>
      <c r="L417" s="20" t="s">
        <v>314</v>
      </c>
    </row>
    <row r="418" ht="68.25" customHeight="1" spans="1:12">
      <c r="A418" s="14" t="s">
        <v>1107</v>
      </c>
      <c r="B418" s="15" t="s">
        <v>1108</v>
      </c>
      <c r="C418" s="14">
        <v>1683</v>
      </c>
      <c r="D418" s="14">
        <v>5</v>
      </c>
      <c r="E418" s="16">
        <v>0.0033</v>
      </c>
      <c r="F418" s="17" t="s">
        <v>1107</v>
      </c>
      <c r="G418" s="21" t="s">
        <v>186</v>
      </c>
      <c r="H418" s="17">
        <v>1570</v>
      </c>
      <c r="I418" s="17">
        <v>6</v>
      </c>
      <c r="J418" s="26">
        <v>0.003911224</v>
      </c>
      <c r="K418" s="20">
        <f t="shared" si="15"/>
        <v>0.000611224</v>
      </c>
      <c r="L418" s="20" t="s">
        <v>314</v>
      </c>
    </row>
    <row r="419" ht="68.25" customHeight="1" spans="1:12">
      <c r="A419" s="14" t="s">
        <v>1109</v>
      </c>
      <c r="B419" s="15" t="s">
        <v>1110</v>
      </c>
      <c r="C419" s="14">
        <v>1615</v>
      </c>
      <c r="D419" s="14">
        <v>8</v>
      </c>
      <c r="E419" s="16">
        <v>0.0055</v>
      </c>
      <c r="F419" s="17" t="s">
        <v>1109</v>
      </c>
      <c r="G419" s="21" t="s">
        <v>187</v>
      </c>
      <c r="H419" s="17">
        <v>1590</v>
      </c>
      <c r="I419" s="17">
        <v>8</v>
      </c>
      <c r="J419" s="26">
        <v>0.005209737</v>
      </c>
      <c r="K419" s="20">
        <f t="shared" si="15"/>
        <v>-0.000290263</v>
      </c>
      <c r="L419" s="20" t="s">
        <v>314</v>
      </c>
    </row>
    <row r="420" ht="54.75" customHeight="1" spans="1:12">
      <c r="A420" s="14" t="s">
        <v>1111</v>
      </c>
      <c r="B420" s="15" t="s">
        <v>1112</v>
      </c>
      <c r="C420" s="14">
        <v>1672</v>
      </c>
      <c r="D420" s="14">
        <v>19</v>
      </c>
      <c r="E420" s="16">
        <v>0.0116</v>
      </c>
      <c r="F420" s="17" t="s">
        <v>1111</v>
      </c>
      <c r="G420" s="18" t="s">
        <v>1112</v>
      </c>
      <c r="H420" s="17">
        <v>1554</v>
      </c>
      <c r="I420" s="17">
        <v>16</v>
      </c>
      <c r="J420" s="19">
        <v>0.01056791</v>
      </c>
      <c r="K420" s="20">
        <f t="shared" si="15"/>
        <v>-0.00103209</v>
      </c>
      <c r="L420" s="20"/>
    </row>
    <row r="421" ht="68.25" customHeight="1" spans="1:12">
      <c r="A421" s="14" t="s">
        <v>1113</v>
      </c>
      <c r="B421" s="15" t="s">
        <v>956</v>
      </c>
      <c r="C421" s="14">
        <v>1650</v>
      </c>
      <c r="D421" s="14">
        <v>11</v>
      </c>
      <c r="E421" s="16">
        <v>0.0068</v>
      </c>
      <c r="F421" s="17" t="s">
        <v>1113</v>
      </c>
      <c r="G421" s="21" t="s">
        <v>192</v>
      </c>
      <c r="H421" s="17">
        <v>1082</v>
      </c>
      <c r="I421" s="17">
        <v>5</v>
      </c>
      <c r="J421" s="26">
        <v>0.00474934</v>
      </c>
      <c r="K421" s="20">
        <f t="shared" si="15"/>
        <v>-0.00205066</v>
      </c>
      <c r="L421" s="20" t="s">
        <v>314</v>
      </c>
    </row>
    <row r="422" ht="68.25" customHeight="1" spans="1:12">
      <c r="A422" s="14" t="s">
        <v>1114</v>
      </c>
      <c r="B422" s="15" t="s">
        <v>1115</v>
      </c>
      <c r="C422" s="14">
        <v>1661</v>
      </c>
      <c r="D422" s="14">
        <v>12</v>
      </c>
      <c r="E422" s="16">
        <v>0.0072</v>
      </c>
      <c r="F422" s="17" t="s">
        <v>1114</v>
      </c>
      <c r="G422" s="21" t="s">
        <v>264</v>
      </c>
      <c r="H422" s="17">
        <v>1145</v>
      </c>
      <c r="I422" s="17">
        <v>4</v>
      </c>
      <c r="J422" s="26">
        <v>0.00349345</v>
      </c>
      <c r="K422" s="20">
        <f t="shared" si="15"/>
        <v>-0.00370655</v>
      </c>
      <c r="L422" s="20" t="s">
        <v>314</v>
      </c>
    </row>
    <row r="423" ht="68.25" customHeight="1" spans="1:12">
      <c r="A423" s="14" t="s">
        <v>1116</v>
      </c>
      <c r="B423" s="15" t="s">
        <v>1117</v>
      </c>
      <c r="C423" s="14">
        <v>1615</v>
      </c>
      <c r="D423" s="14">
        <v>9</v>
      </c>
      <c r="E423" s="16">
        <v>0.006</v>
      </c>
      <c r="F423" s="17" t="s">
        <v>1116</v>
      </c>
      <c r="G423" s="21" t="s">
        <v>265</v>
      </c>
      <c r="H423" s="17">
        <v>2144</v>
      </c>
      <c r="I423" s="17">
        <v>9</v>
      </c>
      <c r="J423" s="26">
        <v>0.004196363</v>
      </c>
      <c r="K423" s="20">
        <f t="shared" si="15"/>
        <v>-0.001803637</v>
      </c>
      <c r="L423" s="20" t="s">
        <v>314</v>
      </c>
    </row>
    <row r="424" ht="41.25" customHeight="1" spans="1:12">
      <c r="A424" s="14" t="s">
        <v>1118</v>
      </c>
      <c r="B424" s="15" t="s">
        <v>1119</v>
      </c>
      <c r="C424" s="14">
        <v>293</v>
      </c>
      <c r="D424" s="14">
        <v>4</v>
      </c>
      <c r="E424" s="16">
        <v>0.0165</v>
      </c>
      <c r="F424" s="17" t="s">
        <v>1118</v>
      </c>
      <c r="G424" s="18" t="s">
        <v>1119</v>
      </c>
      <c r="H424" s="17">
        <v>518</v>
      </c>
      <c r="I424" s="17">
        <v>6</v>
      </c>
      <c r="J424" s="19">
        <v>0.012117874</v>
      </c>
      <c r="K424" s="20">
        <f t="shared" si="15"/>
        <v>-0.004382126</v>
      </c>
      <c r="L424" s="20"/>
    </row>
    <row r="425" ht="41.25" customHeight="1" spans="1:12">
      <c r="A425" s="14" t="s">
        <v>1120</v>
      </c>
      <c r="B425" s="15" t="s">
        <v>898</v>
      </c>
      <c r="C425" s="14">
        <v>1584</v>
      </c>
      <c r="D425" s="14">
        <v>5</v>
      </c>
      <c r="E425" s="16">
        <v>0.0036</v>
      </c>
      <c r="F425" s="17" t="s">
        <v>1120</v>
      </c>
      <c r="G425" s="18" t="s">
        <v>158</v>
      </c>
      <c r="H425" s="17">
        <v>2128</v>
      </c>
      <c r="I425" s="17">
        <v>10</v>
      </c>
      <c r="J425" s="26">
        <v>0.004899987</v>
      </c>
      <c r="K425" s="20">
        <f t="shared" si="15"/>
        <v>0.001299987</v>
      </c>
      <c r="L425" s="20" t="s">
        <v>314</v>
      </c>
    </row>
    <row r="426" ht="41.25" customHeight="1" spans="1:12">
      <c r="A426" s="14" t="s">
        <v>1121</v>
      </c>
      <c r="B426" s="15" t="s">
        <v>915</v>
      </c>
      <c r="C426" s="14">
        <v>1465</v>
      </c>
      <c r="D426" s="14">
        <v>6</v>
      </c>
      <c r="E426" s="16">
        <v>0.0045</v>
      </c>
      <c r="F426" s="17" t="s">
        <v>1121</v>
      </c>
      <c r="G426" s="21" t="s">
        <v>197</v>
      </c>
      <c r="H426" s="17">
        <v>1047</v>
      </c>
      <c r="I426" s="17">
        <v>4</v>
      </c>
      <c r="J426" s="26">
        <v>0.004639105</v>
      </c>
      <c r="K426" s="20">
        <f t="shared" si="15"/>
        <v>0.000139105</v>
      </c>
      <c r="L426" s="20" t="s">
        <v>314</v>
      </c>
    </row>
    <row r="427" ht="54.75" customHeight="1" spans="1:12">
      <c r="A427" s="14" t="s">
        <v>1122</v>
      </c>
      <c r="B427" s="15" t="s">
        <v>1123</v>
      </c>
      <c r="C427" s="14">
        <v>1490</v>
      </c>
      <c r="D427" s="14">
        <v>12</v>
      </c>
      <c r="E427" s="16">
        <v>0.0085</v>
      </c>
      <c r="F427" s="17" t="s">
        <v>1122</v>
      </c>
      <c r="G427" s="21" t="s">
        <v>259</v>
      </c>
      <c r="H427" s="17">
        <v>1301</v>
      </c>
      <c r="I427" s="17">
        <v>7</v>
      </c>
      <c r="J427" s="26">
        <v>0.005597629</v>
      </c>
      <c r="K427" s="20">
        <f t="shared" si="15"/>
        <v>-0.002902371</v>
      </c>
      <c r="L427" s="20" t="s">
        <v>314</v>
      </c>
    </row>
    <row r="428" ht="54.75" customHeight="1" spans="1:12">
      <c r="A428" s="14" t="s">
        <v>1124</v>
      </c>
      <c r="B428" s="15" t="s">
        <v>1125</v>
      </c>
      <c r="C428" s="14">
        <v>1563</v>
      </c>
      <c r="D428" s="14">
        <v>7</v>
      </c>
      <c r="E428" s="16">
        <v>0.005</v>
      </c>
      <c r="F428" s="17" t="s">
        <v>1124</v>
      </c>
      <c r="G428" s="21" t="s">
        <v>191</v>
      </c>
      <c r="H428" s="17">
        <v>1090</v>
      </c>
      <c r="I428" s="17">
        <v>10</v>
      </c>
      <c r="J428" s="26">
        <v>0.009562484</v>
      </c>
      <c r="K428" s="20">
        <f t="shared" si="15"/>
        <v>0.004562484</v>
      </c>
      <c r="L428" s="20" t="s">
        <v>314</v>
      </c>
    </row>
    <row r="429" ht="68.25" customHeight="1" spans="1:12">
      <c r="A429" s="14" t="s">
        <v>1126</v>
      </c>
      <c r="B429" s="15" t="s">
        <v>972</v>
      </c>
      <c r="C429" s="14">
        <v>298</v>
      </c>
      <c r="D429" s="14">
        <v>2</v>
      </c>
      <c r="E429" s="16">
        <v>0.0067</v>
      </c>
      <c r="F429" s="17" t="s">
        <v>1126</v>
      </c>
      <c r="G429" s="21" t="s">
        <v>260</v>
      </c>
      <c r="H429" s="17">
        <v>1406</v>
      </c>
      <c r="I429" s="17">
        <v>5</v>
      </c>
      <c r="J429" s="26">
        <v>0.003757108</v>
      </c>
      <c r="K429" s="20">
        <f t="shared" si="15"/>
        <v>-0.002942892</v>
      </c>
      <c r="L429" s="20" t="s">
        <v>314</v>
      </c>
    </row>
    <row r="430" ht="41.25" customHeight="1" spans="1:12">
      <c r="A430" s="14" t="s">
        <v>1127</v>
      </c>
      <c r="B430" s="15" t="s">
        <v>974</v>
      </c>
      <c r="C430" s="14">
        <v>1524</v>
      </c>
      <c r="D430" s="14">
        <v>9</v>
      </c>
      <c r="E430" s="16">
        <v>0.0059</v>
      </c>
      <c r="F430" s="17" t="s">
        <v>1127</v>
      </c>
      <c r="G430" s="18" t="s">
        <v>974</v>
      </c>
      <c r="H430" s="17">
        <v>1284</v>
      </c>
      <c r="I430" s="17">
        <v>8</v>
      </c>
      <c r="J430" s="26">
        <v>0.006674082</v>
      </c>
      <c r="K430" s="20">
        <f t="shared" si="15"/>
        <v>0.000774082</v>
      </c>
      <c r="L430" s="20" t="s">
        <v>314</v>
      </c>
    </row>
    <row r="431" ht="68.25" customHeight="1" spans="1:12">
      <c r="A431" s="14" t="s">
        <v>1128</v>
      </c>
      <c r="B431" s="15" t="s">
        <v>1129</v>
      </c>
      <c r="C431" s="14">
        <v>1563</v>
      </c>
      <c r="D431" s="14">
        <v>10</v>
      </c>
      <c r="E431" s="16">
        <v>0.0066</v>
      </c>
      <c r="F431" s="17" t="s">
        <v>1128</v>
      </c>
      <c r="G431" s="21" t="s">
        <v>262</v>
      </c>
      <c r="H431" s="17">
        <v>1532</v>
      </c>
      <c r="I431" s="17">
        <v>7</v>
      </c>
      <c r="J431" s="26">
        <v>0.004567487</v>
      </c>
      <c r="K431" s="20">
        <f t="shared" si="15"/>
        <v>-0.002032513</v>
      </c>
      <c r="L431" s="20" t="s">
        <v>314</v>
      </c>
    </row>
    <row r="432" ht="54.75" customHeight="1" spans="1:12">
      <c r="A432" s="14" t="s">
        <v>1130</v>
      </c>
      <c r="B432" s="15" t="s">
        <v>1131</v>
      </c>
      <c r="C432" s="14">
        <v>1337</v>
      </c>
      <c r="D432" s="14">
        <v>13</v>
      </c>
      <c r="E432" s="16">
        <v>0.0104</v>
      </c>
      <c r="F432" s="17" t="s">
        <v>1130</v>
      </c>
      <c r="G432" s="18" t="s">
        <v>1131</v>
      </c>
      <c r="H432" s="17">
        <v>1355</v>
      </c>
      <c r="I432" s="17">
        <v>16</v>
      </c>
      <c r="J432" s="19">
        <v>0.01201771</v>
      </c>
      <c r="K432" s="20">
        <f t="shared" si="15"/>
        <v>0.00161771</v>
      </c>
      <c r="L432" s="20"/>
    </row>
    <row r="433" ht="68.25" customHeight="1" spans="1:12">
      <c r="A433" s="14" t="s">
        <v>1132</v>
      </c>
      <c r="B433" s="15" t="s">
        <v>980</v>
      </c>
      <c r="C433" s="14">
        <v>1433</v>
      </c>
      <c r="D433" s="14">
        <v>9</v>
      </c>
      <c r="E433" s="16">
        <v>0.0065</v>
      </c>
      <c r="F433" s="17" t="s">
        <v>1132</v>
      </c>
      <c r="G433" s="21" t="s">
        <v>263</v>
      </c>
      <c r="H433" s="17">
        <v>1509</v>
      </c>
      <c r="I433" s="17">
        <v>7</v>
      </c>
      <c r="J433" s="26">
        <v>0.004733056</v>
      </c>
      <c r="K433" s="20">
        <f t="shared" si="15"/>
        <v>-0.001766944</v>
      </c>
      <c r="L433" s="20" t="s">
        <v>314</v>
      </c>
    </row>
    <row r="434" ht="68.25" customHeight="1" spans="1:12">
      <c r="A434" s="14" t="s">
        <v>1133</v>
      </c>
      <c r="B434" s="15" t="s">
        <v>917</v>
      </c>
      <c r="C434" s="14">
        <v>1420</v>
      </c>
      <c r="D434" s="14">
        <v>5</v>
      </c>
      <c r="E434" s="16">
        <v>0.0035</v>
      </c>
      <c r="F434" s="17" t="s">
        <v>1133</v>
      </c>
      <c r="G434" s="21" t="s">
        <v>193</v>
      </c>
      <c r="H434" s="17">
        <v>1480</v>
      </c>
      <c r="I434" s="17">
        <v>5</v>
      </c>
      <c r="J434" s="26">
        <v>0.003667954</v>
      </c>
      <c r="K434" s="20">
        <f t="shared" si="15"/>
        <v>0.000167954</v>
      </c>
      <c r="L434" s="20" t="s">
        <v>314</v>
      </c>
    </row>
    <row r="435" ht="41.25" customHeight="1" spans="1:12">
      <c r="A435" s="14" t="s">
        <v>1134</v>
      </c>
      <c r="B435" s="15" t="s">
        <v>1135</v>
      </c>
      <c r="C435" s="14">
        <v>1372</v>
      </c>
      <c r="D435" s="14">
        <v>7</v>
      </c>
      <c r="E435" s="16">
        <v>0.0056</v>
      </c>
      <c r="F435" s="17" t="s">
        <v>1134</v>
      </c>
      <c r="G435" s="21" t="s">
        <v>194</v>
      </c>
      <c r="H435" s="17">
        <v>594</v>
      </c>
      <c r="I435" s="17">
        <v>4</v>
      </c>
      <c r="J435" s="26">
        <v>0.006971154</v>
      </c>
      <c r="K435" s="20">
        <f t="shared" si="15"/>
        <v>0.001371154</v>
      </c>
      <c r="L435" s="20" t="s">
        <v>314</v>
      </c>
    </row>
    <row r="436" ht="68.25" customHeight="1" spans="1:12">
      <c r="A436" s="14" t="s">
        <v>1136</v>
      </c>
      <c r="B436" s="15" t="s">
        <v>984</v>
      </c>
      <c r="C436" s="14">
        <v>1452</v>
      </c>
      <c r="D436" s="14">
        <v>7</v>
      </c>
      <c r="E436" s="16">
        <v>0.0053</v>
      </c>
      <c r="F436" s="17" t="s">
        <v>1136</v>
      </c>
      <c r="G436" s="18" t="s">
        <v>174</v>
      </c>
      <c r="H436" s="17">
        <v>1586</v>
      </c>
      <c r="I436" s="17">
        <v>7</v>
      </c>
      <c r="J436" s="26">
        <v>0.004771766</v>
      </c>
      <c r="K436" s="20">
        <f t="shared" si="15"/>
        <v>-0.000528234</v>
      </c>
      <c r="L436" s="20" t="s">
        <v>314</v>
      </c>
    </row>
    <row r="437" ht="41.25" customHeight="1" spans="1:12">
      <c r="A437" s="14" t="s">
        <v>1137</v>
      </c>
      <c r="B437" s="15" t="s">
        <v>1138</v>
      </c>
      <c r="C437" s="14">
        <v>1322</v>
      </c>
      <c r="D437" s="14">
        <v>5</v>
      </c>
      <c r="E437" s="16">
        <v>0.0038</v>
      </c>
      <c r="F437" s="17" t="s">
        <v>1137</v>
      </c>
      <c r="G437" s="21" t="s">
        <v>195</v>
      </c>
      <c r="H437" s="17">
        <v>622</v>
      </c>
      <c r="I437" s="17">
        <v>4</v>
      </c>
      <c r="J437" s="26">
        <v>0.00642644</v>
      </c>
      <c r="K437" s="20">
        <f t="shared" si="15"/>
        <v>0.00262644</v>
      </c>
      <c r="L437" s="20" t="s">
        <v>314</v>
      </c>
    </row>
    <row r="438" ht="68.25" customHeight="1" spans="1:12">
      <c r="A438" s="14" t="s">
        <v>1139</v>
      </c>
      <c r="B438" s="15" t="s">
        <v>986</v>
      </c>
      <c r="C438" s="14">
        <v>1457</v>
      </c>
      <c r="D438" s="14">
        <v>6</v>
      </c>
      <c r="E438" s="16">
        <v>0.0047</v>
      </c>
      <c r="F438" s="17" t="s">
        <v>1139</v>
      </c>
      <c r="G438" s="18" t="s">
        <v>175</v>
      </c>
      <c r="H438" s="17">
        <v>1569</v>
      </c>
      <c r="I438" s="17">
        <v>6</v>
      </c>
      <c r="J438" s="26">
        <v>0.003824092</v>
      </c>
      <c r="K438" s="20">
        <f t="shared" si="15"/>
        <v>-0.000875908</v>
      </c>
      <c r="L438" s="20" t="s">
        <v>314</v>
      </c>
    </row>
    <row r="439" ht="41.25" customHeight="1" spans="1:12">
      <c r="A439" s="14" t="s">
        <v>1140</v>
      </c>
      <c r="B439" s="15" t="s">
        <v>1141</v>
      </c>
      <c r="C439" s="14">
        <v>1481</v>
      </c>
      <c r="D439" s="14">
        <v>6</v>
      </c>
      <c r="E439" s="16">
        <v>0.0042</v>
      </c>
      <c r="F439" s="17" t="s">
        <v>1140</v>
      </c>
      <c r="G439" s="21" t="s">
        <v>196</v>
      </c>
      <c r="H439" s="17"/>
      <c r="I439" s="17"/>
      <c r="J439" s="19"/>
      <c r="K439" s="20"/>
      <c r="L439" s="20"/>
    </row>
    <row r="440" ht="54.75" customHeight="1" spans="1:12">
      <c r="A440" s="14" t="s">
        <v>1142</v>
      </c>
      <c r="B440" s="15" t="s">
        <v>1143</v>
      </c>
      <c r="C440" s="14">
        <v>1475</v>
      </c>
      <c r="D440" s="14">
        <v>13</v>
      </c>
      <c r="E440" s="16">
        <v>0.009</v>
      </c>
      <c r="F440" s="17" t="s">
        <v>1142</v>
      </c>
      <c r="G440" s="21" t="s">
        <v>266</v>
      </c>
      <c r="H440" s="17">
        <v>1570</v>
      </c>
      <c r="I440" s="17">
        <v>10</v>
      </c>
      <c r="J440" s="26">
        <v>0.006732169</v>
      </c>
      <c r="K440" s="20">
        <f t="shared" ref="K440:K454" si="16">J440-E440</f>
        <v>-0.002267831</v>
      </c>
      <c r="L440" s="20" t="s">
        <v>314</v>
      </c>
    </row>
    <row r="441" ht="68.25" customHeight="1" spans="1:12">
      <c r="A441" s="14" t="s">
        <v>1144</v>
      </c>
      <c r="B441" s="15" t="s">
        <v>1145</v>
      </c>
      <c r="C441" s="14">
        <v>1380</v>
      </c>
      <c r="D441" s="14">
        <v>7</v>
      </c>
      <c r="E441" s="16">
        <v>0.0055</v>
      </c>
      <c r="F441" s="17" t="s">
        <v>1144</v>
      </c>
      <c r="G441" s="18" t="s">
        <v>159</v>
      </c>
      <c r="H441" s="17">
        <v>926</v>
      </c>
      <c r="I441" s="17">
        <v>6</v>
      </c>
      <c r="J441" s="26">
        <v>0.006782796</v>
      </c>
      <c r="K441" s="20">
        <f t="shared" si="16"/>
        <v>0.001282796</v>
      </c>
      <c r="L441" s="20" t="s">
        <v>314</v>
      </c>
    </row>
    <row r="442" ht="41.25" customHeight="1" spans="1:12">
      <c r="A442" s="14" t="s">
        <v>1146</v>
      </c>
      <c r="B442" s="15" t="s">
        <v>994</v>
      </c>
      <c r="C442" s="14">
        <v>1273</v>
      </c>
      <c r="D442" s="14">
        <v>10</v>
      </c>
      <c r="E442" s="16">
        <v>0.0085</v>
      </c>
      <c r="F442" s="17" t="s">
        <v>1146</v>
      </c>
      <c r="G442" s="21" t="s">
        <v>268</v>
      </c>
      <c r="H442" s="17">
        <v>547</v>
      </c>
      <c r="I442" s="17">
        <v>4</v>
      </c>
      <c r="J442" s="26">
        <v>0.00808766</v>
      </c>
      <c r="K442" s="20">
        <f t="shared" si="16"/>
        <v>-0.000412340000000001</v>
      </c>
      <c r="L442" s="20" t="s">
        <v>314</v>
      </c>
    </row>
    <row r="443" ht="41.25" customHeight="1" spans="1:12">
      <c r="A443" s="14" t="s">
        <v>1147</v>
      </c>
      <c r="B443" s="15" t="s">
        <v>1148</v>
      </c>
      <c r="C443" s="14">
        <v>224</v>
      </c>
      <c r="D443" s="14">
        <v>2</v>
      </c>
      <c r="E443" s="16">
        <v>0.0127</v>
      </c>
      <c r="F443" s="17" t="s">
        <v>1147</v>
      </c>
      <c r="G443" s="18" t="s">
        <v>1148</v>
      </c>
      <c r="H443" s="17">
        <v>1073</v>
      </c>
      <c r="I443" s="17">
        <v>6</v>
      </c>
      <c r="J443" s="26">
        <v>0.005591799</v>
      </c>
      <c r="K443" s="25">
        <f t="shared" si="16"/>
        <v>-0.007108201</v>
      </c>
      <c r="L443" s="20" t="s">
        <v>314</v>
      </c>
    </row>
    <row r="444" ht="54.75" customHeight="1" spans="1:12">
      <c r="A444" s="14" t="s">
        <v>1149</v>
      </c>
      <c r="B444" s="15" t="s">
        <v>998</v>
      </c>
      <c r="C444" s="14">
        <v>1533</v>
      </c>
      <c r="D444" s="14">
        <v>9</v>
      </c>
      <c r="E444" s="16">
        <v>0.0059</v>
      </c>
      <c r="F444" s="17" t="s">
        <v>1149</v>
      </c>
      <c r="G444" s="21" t="s">
        <v>243</v>
      </c>
      <c r="H444" s="17">
        <v>1935</v>
      </c>
      <c r="I444" s="17">
        <v>6</v>
      </c>
      <c r="J444" s="26">
        <v>0.003320788</v>
      </c>
      <c r="K444" s="20">
        <f t="shared" si="16"/>
        <v>-0.002579212</v>
      </c>
      <c r="L444" s="20" t="s">
        <v>314</v>
      </c>
    </row>
    <row r="445" ht="68.25" customHeight="1" spans="1:12">
      <c r="A445" s="14" t="s">
        <v>1150</v>
      </c>
      <c r="B445" s="15" t="s">
        <v>1151</v>
      </c>
      <c r="C445" s="14">
        <v>505</v>
      </c>
      <c r="D445" s="14">
        <v>3</v>
      </c>
      <c r="E445" s="16">
        <v>0.0062</v>
      </c>
      <c r="F445" s="17" t="s">
        <v>1150</v>
      </c>
      <c r="G445" s="21" t="s">
        <v>200</v>
      </c>
      <c r="H445" s="17">
        <v>1449</v>
      </c>
      <c r="I445" s="17">
        <v>7</v>
      </c>
      <c r="J445" s="26">
        <v>0.005027107</v>
      </c>
      <c r="K445" s="20">
        <f t="shared" si="16"/>
        <v>-0.001172893</v>
      </c>
      <c r="L445" s="20" t="s">
        <v>314</v>
      </c>
    </row>
    <row r="446" ht="68.25" customHeight="1" spans="1:12">
      <c r="A446" s="14" t="s">
        <v>1152</v>
      </c>
      <c r="B446" s="15" t="s">
        <v>1153</v>
      </c>
      <c r="C446" s="14">
        <v>1408</v>
      </c>
      <c r="D446" s="14">
        <v>14</v>
      </c>
      <c r="E446" s="16">
        <v>0.01</v>
      </c>
      <c r="F446" s="17" t="s">
        <v>1152</v>
      </c>
      <c r="G446" s="21" t="s">
        <v>201</v>
      </c>
      <c r="H446" s="17">
        <v>1630</v>
      </c>
      <c r="I446" s="17">
        <v>5</v>
      </c>
      <c r="J446" s="26">
        <v>0.003591451</v>
      </c>
      <c r="K446" s="27">
        <f t="shared" si="16"/>
        <v>-0.006408549</v>
      </c>
      <c r="L446" s="24" t="s">
        <v>333</v>
      </c>
    </row>
    <row r="447" ht="54.75" customHeight="1" spans="1:12">
      <c r="A447" s="14" t="s">
        <v>1154</v>
      </c>
      <c r="B447" s="15" t="s">
        <v>1004</v>
      </c>
      <c r="C447" s="14">
        <v>1509</v>
      </c>
      <c r="D447" s="14">
        <v>6</v>
      </c>
      <c r="E447" s="16">
        <v>0.0044</v>
      </c>
      <c r="F447" s="17" t="s">
        <v>1154</v>
      </c>
      <c r="G447" s="18" t="s">
        <v>178</v>
      </c>
      <c r="H447" s="17">
        <v>2019</v>
      </c>
      <c r="I447" s="17">
        <v>10</v>
      </c>
      <c r="J447" s="26">
        <v>0.005022637</v>
      </c>
      <c r="K447" s="20">
        <f t="shared" si="16"/>
        <v>0.000622637</v>
      </c>
      <c r="L447" s="20" t="s">
        <v>314</v>
      </c>
    </row>
    <row r="448" ht="54.75" customHeight="1" spans="1:12">
      <c r="A448" s="14" t="s">
        <v>1155</v>
      </c>
      <c r="B448" s="15" t="s">
        <v>677</v>
      </c>
      <c r="C448" s="14">
        <v>1527</v>
      </c>
      <c r="D448" s="14">
        <v>12</v>
      </c>
      <c r="E448" s="16">
        <v>0.0079</v>
      </c>
      <c r="F448" s="17" t="s">
        <v>1155</v>
      </c>
      <c r="G448" s="21" t="s">
        <v>122</v>
      </c>
      <c r="H448" s="17">
        <v>1649</v>
      </c>
      <c r="I448" s="17">
        <v>9</v>
      </c>
      <c r="J448" s="26">
        <v>0.005888975</v>
      </c>
      <c r="K448" s="20">
        <f t="shared" si="16"/>
        <v>-0.002011025</v>
      </c>
      <c r="L448" s="20" t="s">
        <v>314</v>
      </c>
    </row>
    <row r="449" ht="54.75" customHeight="1" spans="1:12">
      <c r="A449" s="14" t="s">
        <v>1156</v>
      </c>
      <c r="B449" s="15" t="s">
        <v>906</v>
      </c>
      <c r="C449" s="14">
        <v>1562</v>
      </c>
      <c r="D449" s="14">
        <v>6</v>
      </c>
      <c r="E449" s="16">
        <v>0.0043</v>
      </c>
      <c r="F449" s="17" t="s">
        <v>1156</v>
      </c>
      <c r="G449" s="18" t="s">
        <v>907</v>
      </c>
      <c r="H449" s="17">
        <v>1576</v>
      </c>
      <c r="I449" s="17">
        <v>7</v>
      </c>
      <c r="J449" s="26">
        <v>0.004804206</v>
      </c>
      <c r="K449" s="20">
        <f t="shared" si="16"/>
        <v>0.000504206</v>
      </c>
      <c r="L449" s="20" t="s">
        <v>314</v>
      </c>
    </row>
    <row r="450" ht="68.25" customHeight="1" spans="1:12">
      <c r="A450" s="14" t="s">
        <v>1157</v>
      </c>
      <c r="B450" s="15" t="s">
        <v>1158</v>
      </c>
      <c r="C450" s="14">
        <v>1569</v>
      </c>
      <c r="D450" s="14">
        <v>6</v>
      </c>
      <c r="E450" s="16">
        <v>0.0042</v>
      </c>
      <c r="F450" s="17" t="s">
        <v>1157</v>
      </c>
      <c r="G450" s="18" t="s">
        <v>177</v>
      </c>
      <c r="H450" s="17">
        <v>1524</v>
      </c>
      <c r="I450" s="17">
        <v>5</v>
      </c>
      <c r="J450" s="26">
        <v>0.003373946</v>
      </c>
      <c r="K450" s="20">
        <f t="shared" si="16"/>
        <v>-0.000826054</v>
      </c>
      <c r="L450" s="20" t="s">
        <v>314</v>
      </c>
    </row>
    <row r="451" ht="68.25" customHeight="1" spans="1:12">
      <c r="A451" s="14" t="s">
        <v>1159</v>
      </c>
      <c r="B451" s="15" t="s">
        <v>1160</v>
      </c>
      <c r="C451" s="14">
        <v>1073</v>
      </c>
      <c r="D451" s="14">
        <v>8</v>
      </c>
      <c r="E451" s="16">
        <v>0.0083</v>
      </c>
      <c r="F451" s="17" t="s">
        <v>1159</v>
      </c>
      <c r="G451" s="21" t="s">
        <v>242</v>
      </c>
      <c r="H451" s="17">
        <v>1444</v>
      </c>
      <c r="I451" s="17">
        <v>6</v>
      </c>
      <c r="J451" s="26">
        <v>0.004746366</v>
      </c>
      <c r="K451" s="20">
        <f t="shared" si="16"/>
        <v>-0.003553634</v>
      </c>
      <c r="L451" s="20" t="s">
        <v>314</v>
      </c>
    </row>
    <row r="452" ht="27.75" customHeight="1" spans="1:12">
      <c r="A452" s="14" t="s">
        <v>1161</v>
      </c>
      <c r="B452" s="15" t="s">
        <v>1162</v>
      </c>
      <c r="C452" s="14">
        <v>1567</v>
      </c>
      <c r="D452" s="14">
        <v>8</v>
      </c>
      <c r="E452" s="16">
        <v>0.0053</v>
      </c>
      <c r="F452" s="17" t="s">
        <v>1161</v>
      </c>
      <c r="G452" s="21" t="s">
        <v>198</v>
      </c>
      <c r="H452" s="17">
        <v>1522</v>
      </c>
      <c r="I452" s="17">
        <v>7</v>
      </c>
      <c r="J452" s="26">
        <v>0.005068043</v>
      </c>
      <c r="K452" s="20">
        <f t="shared" si="16"/>
        <v>-0.000231957</v>
      </c>
      <c r="L452" s="20" t="s">
        <v>314</v>
      </c>
    </row>
    <row r="453" ht="68.25" customHeight="1" spans="1:12">
      <c r="A453" s="14" t="s">
        <v>1163</v>
      </c>
      <c r="B453" s="15" t="s">
        <v>1164</v>
      </c>
      <c r="C453" s="14">
        <v>1612</v>
      </c>
      <c r="D453" s="14">
        <v>9</v>
      </c>
      <c r="E453" s="16">
        <v>0.0056</v>
      </c>
      <c r="F453" s="17" t="s">
        <v>1163</v>
      </c>
      <c r="G453" s="21" t="s">
        <v>199</v>
      </c>
      <c r="H453" s="17">
        <v>1477</v>
      </c>
      <c r="I453" s="17">
        <v>8</v>
      </c>
      <c r="J453" s="26">
        <v>0.005606573</v>
      </c>
      <c r="K453" s="20">
        <f t="shared" si="16"/>
        <v>6.57300000000017e-6</v>
      </c>
      <c r="L453" s="20" t="s">
        <v>314</v>
      </c>
    </row>
    <row r="454" ht="68.25" customHeight="1" spans="1:12">
      <c r="A454" s="14" t="s">
        <v>1165</v>
      </c>
      <c r="B454" s="15" t="s">
        <v>1166</v>
      </c>
      <c r="C454" s="14">
        <v>1030</v>
      </c>
      <c r="D454" s="14">
        <v>5</v>
      </c>
      <c r="E454" s="16">
        <v>0.0053</v>
      </c>
      <c r="F454" s="17" t="s">
        <v>1165</v>
      </c>
      <c r="G454" s="21" t="s">
        <v>267</v>
      </c>
      <c r="H454" s="17">
        <v>1440</v>
      </c>
      <c r="I454" s="17">
        <v>7</v>
      </c>
      <c r="J454" s="26">
        <v>0.005354487</v>
      </c>
      <c r="K454" s="20">
        <f t="shared" si="16"/>
        <v>5.44869999999998e-5</v>
      </c>
      <c r="L454" s="20" t="s">
        <v>314</v>
      </c>
    </row>
    <row r="455" ht="41.25" customHeight="1" spans="1:12">
      <c r="A455" s="14" t="s">
        <v>1167</v>
      </c>
      <c r="B455" s="15" t="s">
        <v>1168</v>
      </c>
      <c r="C455" s="14">
        <v>1589</v>
      </c>
      <c r="D455" s="14">
        <v>8</v>
      </c>
      <c r="E455" s="16">
        <v>0.0056</v>
      </c>
      <c r="F455" s="17" t="s">
        <v>1167</v>
      </c>
      <c r="G455" s="18" t="s">
        <v>137</v>
      </c>
      <c r="H455" s="17"/>
      <c r="I455" s="17"/>
      <c r="J455" s="19"/>
      <c r="K455" s="20"/>
      <c r="L455" s="20"/>
    </row>
    <row r="456" ht="54.75" customHeight="1" spans="1:12">
      <c r="A456" s="14" t="s">
        <v>1169</v>
      </c>
      <c r="B456" s="15" t="s">
        <v>1170</v>
      </c>
      <c r="C456" s="14">
        <v>1602</v>
      </c>
      <c r="D456" s="14">
        <v>13</v>
      </c>
      <c r="E456" s="16">
        <v>0.0084</v>
      </c>
      <c r="F456" s="17" t="s">
        <v>1169</v>
      </c>
      <c r="G456" s="21" t="s">
        <v>269</v>
      </c>
      <c r="H456" s="17">
        <v>1412</v>
      </c>
      <c r="I456" s="17">
        <v>14</v>
      </c>
      <c r="J456" s="19">
        <v>0.010318665</v>
      </c>
      <c r="K456" s="20">
        <f t="shared" ref="K456:K486" si="17">J456-E456</f>
        <v>0.001918665</v>
      </c>
      <c r="L456" s="20"/>
    </row>
    <row r="457" ht="68.25" customHeight="1" spans="1:12">
      <c r="A457" s="14" t="s">
        <v>1171</v>
      </c>
      <c r="B457" s="15" t="s">
        <v>1019</v>
      </c>
      <c r="C457" s="14">
        <v>1570</v>
      </c>
      <c r="D457" s="14">
        <v>7</v>
      </c>
      <c r="E457" s="16">
        <v>0.0047</v>
      </c>
      <c r="F457" s="17" t="s">
        <v>1171</v>
      </c>
      <c r="G457" s="18" t="s">
        <v>180</v>
      </c>
      <c r="H457" s="17">
        <v>1421</v>
      </c>
      <c r="I457" s="17">
        <v>6</v>
      </c>
      <c r="J457" s="26">
        <v>0.004723618</v>
      </c>
      <c r="K457" s="20">
        <f t="shared" si="17"/>
        <v>2.36179999999996e-5</v>
      </c>
      <c r="L457" s="20" t="s">
        <v>314</v>
      </c>
    </row>
    <row r="458" ht="68.25" customHeight="1" spans="1:12">
      <c r="A458" s="14" t="s">
        <v>1172</v>
      </c>
      <c r="B458" s="15" t="s">
        <v>1023</v>
      </c>
      <c r="C458" s="14">
        <v>1460</v>
      </c>
      <c r="D458" s="14">
        <v>6</v>
      </c>
      <c r="E458" s="16">
        <v>0.0047</v>
      </c>
      <c r="F458" s="17" t="s">
        <v>1172</v>
      </c>
      <c r="G458" s="21" t="s">
        <v>202</v>
      </c>
      <c r="H458" s="17">
        <v>1946</v>
      </c>
      <c r="I458" s="17">
        <v>8</v>
      </c>
      <c r="J458" s="26">
        <v>0.004331229</v>
      </c>
      <c r="K458" s="20">
        <f t="shared" si="17"/>
        <v>-0.000368771</v>
      </c>
      <c r="L458" s="20" t="s">
        <v>314</v>
      </c>
    </row>
    <row r="459" ht="68.25" customHeight="1" spans="1:12">
      <c r="A459" s="14" t="s">
        <v>1173</v>
      </c>
      <c r="B459" s="15" t="s">
        <v>1174</v>
      </c>
      <c r="C459" s="14">
        <v>1432</v>
      </c>
      <c r="D459" s="14">
        <v>16</v>
      </c>
      <c r="E459" s="16">
        <v>0.0113</v>
      </c>
      <c r="F459" s="17" t="s">
        <v>1173</v>
      </c>
      <c r="G459" s="18" t="s">
        <v>1174</v>
      </c>
      <c r="H459" s="17">
        <v>1937</v>
      </c>
      <c r="I459" s="17">
        <v>19</v>
      </c>
      <c r="J459" s="26">
        <v>0.00980826</v>
      </c>
      <c r="K459" s="20">
        <f t="shared" si="17"/>
        <v>-0.00149174</v>
      </c>
      <c r="L459" s="20" t="s">
        <v>314</v>
      </c>
    </row>
    <row r="460" ht="68.25" customHeight="1" spans="1:12">
      <c r="A460" s="14" t="s">
        <v>1175</v>
      </c>
      <c r="B460" s="15" t="s">
        <v>1176</v>
      </c>
      <c r="C460" s="14">
        <v>1350</v>
      </c>
      <c r="D460" s="14">
        <v>12</v>
      </c>
      <c r="E460" s="16">
        <v>0.0091</v>
      </c>
      <c r="F460" s="17" t="s">
        <v>1175</v>
      </c>
      <c r="G460" s="21" t="s">
        <v>270</v>
      </c>
      <c r="H460" s="17">
        <v>1402</v>
      </c>
      <c r="I460" s="17">
        <v>6</v>
      </c>
      <c r="J460" s="26">
        <v>0.004787613</v>
      </c>
      <c r="K460" s="20">
        <f t="shared" si="17"/>
        <v>-0.004312387</v>
      </c>
      <c r="L460" s="20" t="s">
        <v>314</v>
      </c>
    </row>
    <row r="461" ht="68.25" customHeight="1" spans="1:12">
      <c r="A461" s="14" t="s">
        <v>1177</v>
      </c>
      <c r="B461" s="15" t="s">
        <v>1178</v>
      </c>
      <c r="C461" s="14">
        <v>1550</v>
      </c>
      <c r="D461" s="14">
        <v>9</v>
      </c>
      <c r="E461" s="16">
        <v>0.0061</v>
      </c>
      <c r="F461" s="17" t="s">
        <v>1177</v>
      </c>
      <c r="G461" s="21" t="s">
        <v>271</v>
      </c>
      <c r="H461" s="17">
        <v>1457</v>
      </c>
      <c r="I461" s="17">
        <v>5</v>
      </c>
      <c r="J461" s="26">
        <v>0.003528374</v>
      </c>
      <c r="K461" s="20">
        <f t="shared" si="17"/>
        <v>-0.002571626</v>
      </c>
      <c r="L461" s="20" t="s">
        <v>314</v>
      </c>
    </row>
    <row r="462" ht="68.25" customHeight="1" spans="1:12">
      <c r="A462" s="14" t="s">
        <v>1179</v>
      </c>
      <c r="B462" s="15" t="s">
        <v>808</v>
      </c>
      <c r="C462" s="14">
        <v>1451</v>
      </c>
      <c r="D462" s="14">
        <v>7</v>
      </c>
      <c r="E462" s="16">
        <v>0.005</v>
      </c>
      <c r="F462" s="17" t="s">
        <v>1179</v>
      </c>
      <c r="G462" s="18" t="s">
        <v>145</v>
      </c>
      <c r="H462" s="17">
        <v>1457</v>
      </c>
      <c r="I462" s="17">
        <v>6</v>
      </c>
      <c r="J462" s="26">
        <v>0.004606488</v>
      </c>
      <c r="K462" s="20">
        <f t="shared" si="17"/>
        <v>-0.000393512</v>
      </c>
      <c r="L462" s="20" t="s">
        <v>314</v>
      </c>
    </row>
    <row r="463" ht="68.25" customHeight="1" spans="1:12">
      <c r="A463" s="14" t="s">
        <v>1180</v>
      </c>
      <c r="B463" s="15" t="s">
        <v>1181</v>
      </c>
      <c r="C463" s="14">
        <v>1402</v>
      </c>
      <c r="D463" s="14">
        <v>9</v>
      </c>
      <c r="E463" s="16">
        <v>0.0069</v>
      </c>
      <c r="F463" s="17" t="s">
        <v>1180</v>
      </c>
      <c r="G463" s="21" t="s">
        <v>272</v>
      </c>
      <c r="H463" s="17">
        <v>1312</v>
      </c>
      <c r="I463" s="17">
        <v>6</v>
      </c>
      <c r="J463" s="26">
        <v>0.005114811</v>
      </c>
      <c r="K463" s="20">
        <f t="shared" si="17"/>
        <v>-0.001785189</v>
      </c>
      <c r="L463" s="20" t="s">
        <v>314</v>
      </c>
    </row>
    <row r="464" ht="54.75" customHeight="1" spans="1:12">
      <c r="A464" s="14" t="s">
        <v>1182</v>
      </c>
      <c r="B464" s="15" t="s">
        <v>1183</v>
      </c>
      <c r="C464" s="14">
        <v>1637</v>
      </c>
      <c r="D464" s="14">
        <v>15</v>
      </c>
      <c r="E464" s="16">
        <v>0.0092</v>
      </c>
      <c r="F464" s="17" t="s">
        <v>1182</v>
      </c>
      <c r="G464" s="21" t="s">
        <v>213</v>
      </c>
      <c r="H464" s="17">
        <v>1489</v>
      </c>
      <c r="I464" s="17">
        <v>11</v>
      </c>
      <c r="J464" s="26">
        <v>0.007479145</v>
      </c>
      <c r="K464" s="20">
        <f t="shared" si="17"/>
        <v>-0.001720855</v>
      </c>
      <c r="L464" s="20" t="s">
        <v>314</v>
      </c>
    </row>
    <row r="465" ht="68.25" customHeight="1" spans="1:12">
      <c r="A465" s="14" t="s">
        <v>1184</v>
      </c>
      <c r="B465" s="15" t="s">
        <v>1185</v>
      </c>
      <c r="C465" s="14">
        <v>1543</v>
      </c>
      <c r="D465" s="14">
        <v>11</v>
      </c>
      <c r="E465" s="16">
        <v>0.0072</v>
      </c>
      <c r="F465" s="17" t="s">
        <v>1184</v>
      </c>
      <c r="G465" s="21" t="s">
        <v>217</v>
      </c>
      <c r="H465" s="17">
        <v>629</v>
      </c>
      <c r="I465" s="17">
        <v>6</v>
      </c>
      <c r="J465" s="26">
        <v>0.009754991</v>
      </c>
      <c r="K465" s="20">
        <f t="shared" si="17"/>
        <v>0.002554991</v>
      </c>
      <c r="L465" s="20" t="s">
        <v>314</v>
      </c>
    </row>
    <row r="466" ht="41.25" customHeight="1" spans="1:12">
      <c r="A466" s="14" t="s">
        <v>1186</v>
      </c>
      <c r="B466" s="15" t="s">
        <v>1187</v>
      </c>
      <c r="C466" s="14">
        <v>1043</v>
      </c>
      <c r="D466" s="14">
        <v>8</v>
      </c>
      <c r="E466" s="16">
        <v>0.0079</v>
      </c>
      <c r="F466" s="17" t="s">
        <v>1186</v>
      </c>
      <c r="G466" s="21" t="s">
        <v>218</v>
      </c>
      <c r="H466" s="17">
        <v>1398</v>
      </c>
      <c r="I466" s="17">
        <v>10</v>
      </c>
      <c r="J466" s="26">
        <v>0.007662444</v>
      </c>
      <c r="K466" s="20">
        <f t="shared" si="17"/>
        <v>-0.000237556000000001</v>
      </c>
      <c r="L466" s="20" t="s">
        <v>314</v>
      </c>
    </row>
    <row r="467" ht="68.25" customHeight="1" spans="1:12">
      <c r="A467" s="14" t="s">
        <v>1188</v>
      </c>
      <c r="B467" s="15" t="s">
        <v>1189</v>
      </c>
      <c r="C467" s="14">
        <v>1564</v>
      </c>
      <c r="D467" s="14">
        <v>5</v>
      </c>
      <c r="E467" s="16">
        <v>0.0035</v>
      </c>
      <c r="F467" s="17" t="s">
        <v>1188</v>
      </c>
      <c r="G467" s="21" t="s">
        <v>168</v>
      </c>
      <c r="H467" s="17">
        <v>1766</v>
      </c>
      <c r="I467" s="17">
        <v>6</v>
      </c>
      <c r="J467" s="26">
        <v>0.003396135</v>
      </c>
      <c r="K467" s="20">
        <f t="shared" si="17"/>
        <v>-0.000103865</v>
      </c>
      <c r="L467" s="20" t="s">
        <v>314</v>
      </c>
    </row>
    <row r="468" ht="68.25" customHeight="1" spans="1:12">
      <c r="A468" s="14" t="s">
        <v>1190</v>
      </c>
      <c r="B468" s="15" t="s">
        <v>1191</v>
      </c>
      <c r="C468" s="14">
        <v>1556</v>
      </c>
      <c r="D468" s="14">
        <v>6</v>
      </c>
      <c r="E468" s="16">
        <v>0.0043</v>
      </c>
      <c r="F468" s="17" t="s">
        <v>1190</v>
      </c>
      <c r="G468" s="21" t="s">
        <v>169</v>
      </c>
      <c r="H468" s="17">
        <v>1879</v>
      </c>
      <c r="I468" s="17">
        <v>10</v>
      </c>
      <c r="J468" s="26">
        <v>0.005472372</v>
      </c>
      <c r="K468" s="20">
        <f t="shared" si="17"/>
        <v>0.001172372</v>
      </c>
      <c r="L468" s="20" t="s">
        <v>314</v>
      </c>
    </row>
    <row r="469" ht="68.25" customHeight="1" spans="1:12">
      <c r="A469" s="14" t="s">
        <v>1192</v>
      </c>
      <c r="B469" s="15" t="s">
        <v>888</v>
      </c>
      <c r="C469" s="14">
        <v>1486</v>
      </c>
      <c r="D469" s="14">
        <v>3</v>
      </c>
      <c r="E469" s="16">
        <v>0.0023</v>
      </c>
      <c r="F469" s="17" t="s">
        <v>1192</v>
      </c>
      <c r="G469" s="21" t="s">
        <v>170</v>
      </c>
      <c r="H469" s="17">
        <v>956</v>
      </c>
      <c r="I469" s="17">
        <v>5</v>
      </c>
      <c r="J469" s="26">
        <v>0.005377147</v>
      </c>
      <c r="K469" s="20">
        <f t="shared" si="17"/>
        <v>0.003077147</v>
      </c>
      <c r="L469" s="20" t="s">
        <v>314</v>
      </c>
    </row>
    <row r="470" ht="54.75" customHeight="1" spans="1:12">
      <c r="A470" s="14" t="s">
        <v>1193</v>
      </c>
      <c r="B470" s="15" t="s">
        <v>1194</v>
      </c>
      <c r="C470" s="14">
        <v>1366</v>
      </c>
      <c r="D470" s="14">
        <v>10</v>
      </c>
      <c r="E470" s="16">
        <v>0.0074</v>
      </c>
      <c r="F470" s="17" t="s">
        <v>1193</v>
      </c>
      <c r="G470" s="21" t="s">
        <v>214</v>
      </c>
      <c r="H470" s="17">
        <v>1288</v>
      </c>
      <c r="I470" s="17">
        <v>16</v>
      </c>
      <c r="J470" s="19">
        <v>0.01308349</v>
      </c>
      <c r="K470" s="20">
        <f t="shared" si="17"/>
        <v>0.00568349</v>
      </c>
      <c r="L470" s="20"/>
    </row>
    <row r="471" ht="41.25" customHeight="1" spans="1:12">
      <c r="A471" s="14" t="s">
        <v>1195</v>
      </c>
      <c r="B471" s="15" t="s">
        <v>919</v>
      </c>
      <c r="C471" s="14">
        <v>1557</v>
      </c>
      <c r="D471" s="14">
        <v>7</v>
      </c>
      <c r="E471" s="16">
        <v>0.005</v>
      </c>
      <c r="F471" s="17" t="s">
        <v>1195</v>
      </c>
      <c r="G471" s="18" t="s">
        <v>154</v>
      </c>
      <c r="H471" s="17">
        <v>1951</v>
      </c>
      <c r="I471" s="17">
        <v>7</v>
      </c>
      <c r="J471" s="26">
        <v>0.003879373</v>
      </c>
      <c r="K471" s="20">
        <f t="shared" si="17"/>
        <v>-0.001120627</v>
      </c>
      <c r="L471" s="20" t="s">
        <v>314</v>
      </c>
    </row>
    <row r="472" ht="41.25" customHeight="1" spans="1:12">
      <c r="A472" s="14" t="s">
        <v>1196</v>
      </c>
      <c r="B472" s="15" t="s">
        <v>1197</v>
      </c>
      <c r="C472" s="14">
        <v>1524</v>
      </c>
      <c r="D472" s="14">
        <v>11</v>
      </c>
      <c r="E472" s="16">
        <v>0.0075</v>
      </c>
      <c r="F472" s="17" t="s">
        <v>1196</v>
      </c>
      <c r="G472" s="21" t="s">
        <v>215</v>
      </c>
      <c r="H472" s="17">
        <v>1055</v>
      </c>
      <c r="I472" s="17">
        <v>7</v>
      </c>
      <c r="J472" s="26">
        <v>0.006635071</v>
      </c>
      <c r="K472" s="20">
        <f t="shared" si="17"/>
        <v>-0.000864929</v>
      </c>
      <c r="L472" s="20" t="s">
        <v>314</v>
      </c>
    </row>
    <row r="473" ht="54.75" customHeight="1" spans="1:12">
      <c r="A473" s="14" t="s">
        <v>1198</v>
      </c>
      <c r="B473" s="15" t="s">
        <v>1199</v>
      </c>
      <c r="C473" s="14">
        <v>584</v>
      </c>
      <c r="D473" s="14">
        <v>6</v>
      </c>
      <c r="E473" s="16">
        <v>0.0103</v>
      </c>
      <c r="F473" s="17" t="s">
        <v>1198</v>
      </c>
      <c r="G473" s="21" t="s">
        <v>216</v>
      </c>
      <c r="H473" s="17">
        <v>1371</v>
      </c>
      <c r="I473" s="17">
        <v>13</v>
      </c>
      <c r="J473" s="26">
        <v>0.009580339</v>
      </c>
      <c r="K473" s="20">
        <f t="shared" si="17"/>
        <v>-0.000719661</v>
      </c>
      <c r="L473" s="20" t="s">
        <v>314</v>
      </c>
    </row>
    <row r="474" ht="54.75" customHeight="1" spans="1:12">
      <c r="A474" s="14" t="s">
        <v>1200</v>
      </c>
      <c r="B474" s="15" t="s">
        <v>1201</v>
      </c>
      <c r="C474" s="14">
        <v>1349</v>
      </c>
      <c r="D474" s="14">
        <v>11</v>
      </c>
      <c r="E474" s="16">
        <v>0.0088</v>
      </c>
      <c r="F474" s="17" t="s">
        <v>1200</v>
      </c>
      <c r="G474" s="18" t="s">
        <v>1201</v>
      </c>
      <c r="H474" s="17">
        <v>1387</v>
      </c>
      <c r="I474" s="17">
        <v>13</v>
      </c>
      <c r="J474" s="19">
        <v>0.009986616</v>
      </c>
      <c r="K474" s="20">
        <f t="shared" si="17"/>
        <v>0.001186616</v>
      </c>
      <c r="L474" s="20"/>
    </row>
    <row r="475" ht="68.25" customHeight="1" spans="1:12">
      <c r="A475" s="14" t="s">
        <v>1202</v>
      </c>
      <c r="B475" s="15" t="s">
        <v>1203</v>
      </c>
      <c r="C475" s="14">
        <v>1519</v>
      </c>
      <c r="D475" s="14">
        <v>4</v>
      </c>
      <c r="E475" s="16">
        <v>0.0027</v>
      </c>
      <c r="F475" s="17" t="s">
        <v>1202</v>
      </c>
      <c r="G475" s="21" t="s">
        <v>166</v>
      </c>
      <c r="H475" s="17">
        <v>1441</v>
      </c>
      <c r="I475" s="17">
        <v>5</v>
      </c>
      <c r="J475" s="26">
        <v>0.00366736</v>
      </c>
      <c r="K475" s="20">
        <f t="shared" si="17"/>
        <v>0.00096736</v>
      </c>
      <c r="L475" s="20" t="s">
        <v>314</v>
      </c>
    </row>
    <row r="476" ht="68.25" customHeight="1" spans="1:12">
      <c r="A476" s="14" t="s">
        <v>1204</v>
      </c>
      <c r="B476" s="15" t="s">
        <v>1205</v>
      </c>
      <c r="C476" s="14">
        <v>1564</v>
      </c>
      <c r="D476" s="14">
        <v>6</v>
      </c>
      <c r="E476" s="16">
        <v>0.0044</v>
      </c>
      <c r="F476" s="17" t="s">
        <v>1204</v>
      </c>
      <c r="G476" s="21" t="s">
        <v>167</v>
      </c>
      <c r="H476" s="17">
        <v>1485</v>
      </c>
      <c r="I476" s="17">
        <v>6</v>
      </c>
      <c r="J476" s="26">
        <v>0.004136604</v>
      </c>
      <c r="K476" s="20">
        <f t="shared" si="17"/>
        <v>-0.000263396</v>
      </c>
      <c r="L476" s="20" t="s">
        <v>314</v>
      </c>
    </row>
    <row r="477" ht="54.75" customHeight="1" spans="1:12">
      <c r="A477" s="14" t="s">
        <v>1206</v>
      </c>
      <c r="B477" s="15" t="s">
        <v>1207</v>
      </c>
      <c r="C477" s="14">
        <v>1463</v>
      </c>
      <c r="D477" s="14">
        <v>12</v>
      </c>
      <c r="E477" s="16">
        <v>0.0087</v>
      </c>
      <c r="F477" s="17" t="s">
        <v>1206</v>
      </c>
      <c r="G477" s="21" t="s">
        <v>219</v>
      </c>
      <c r="H477" s="17">
        <v>1434</v>
      </c>
      <c r="I477" s="17">
        <v>11</v>
      </c>
      <c r="J477" s="26">
        <v>0.008067729</v>
      </c>
      <c r="K477" s="20">
        <f t="shared" si="17"/>
        <v>-0.000632271</v>
      </c>
      <c r="L477" s="20" t="s">
        <v>314</v>
      </c>
    </row>
    <row r="478" ht="68.25" customHeight="1" spans="1:12">
      <c r="A478" s="14" t="s">
        <v>1208</v>
      </c>
      <c r="B478" s="15" t="s">
        <v>1021</v>
      </c>
      <c r="C478" s="14">
        <v>1008</v>
      </c>
      <c r="D478" s="14">
        <v>9</v>
      </c>
      <c r="E478" s="16">
        <v>0.0092</v>
      </c>
      <c r="F478" s="17" t="s">
        <v>1208</v>
      </c>
      <c r="G478" s="21" t="s">
        <v>221</v>
      </c>
      <c r="H478" s="17">
        <v>1278</v>
      </c>
      <c r="I478" s="17">
        <v>8</v>
      </c>
      <c r="J478" s="26">
        <v>0.006595126</v>
      </c>
      <c r="K478" s="20">
        <f t="shared" si="17"/>
        <v>-0.002604874</v>
      </c>
      <c r="L478" s="20" t="s">
        <v>314</v>
      </c>
    </row>
    <row r="479" ht="81.75" customHeight="1" spans="1:12">
      <c r="A479" s="14" t="s">
        <v>1209</v>
      </c>
      <c r="B479" s="15" t="s">
        <v>1210</v>
      </c>
      <c r="C479" s="14">
        <v>1477</v>
      </c>
      <c r="D479" s="14">
        <v>8</v>
      </c>
      <c r="E479" s="16">
        <v>0.0055</v>
      </c>
      <c r="F479" s="17" t="s">
        <v>1209</v>
      </c>
      <c r="G479" s="21" t="s">
        <v>223</v>
      </c>
      <c r="H479" s="17">
        <v>1874</v>
      </c>
      <c r="I479" s="17">
        <v>8</v>
      </c>
      <c r="J479" s="26">
        <v>0.00472633</v>
      </c>
      <c r="K479" s="20">
        <f t="shared" si="17"/>
        <v>-0.00077367</v>
      </c>
      <c r="L479" s="20" t="s">
        <v>314</v>
      </c>
    </row>
    <row r="480" ht="68.25" customHeight="1" spans="1:12">
      <c r="A480" s="14" t="s">
        <v>1211</v>
      </c>
      <c r="B480" s="15" t="s">
        <v>1212</v>
      </c>
      <c r="C480" s="14">
        <v>1570</v>
      </c>
      <c r="D480" s="14">
        <v>4</v>
      </c>
      <c r="E480" s="16">
        <v>0.0031</v>
      </c>
      <c r="F480" s="17" t="s">
        <v>1211</v>
      </c>
      <c r="G480" s="21" t="s">
        <v>171</v>
      </c>
      <c r="H480" s="17">
        <v>2059</v>
      </c>
      <c r="I480" s="17">
        <v>7</v>
      </c>
      <c r="J480" s="26">
        <v>0.003399473</v>
      </c>
      <c r="K480" s="20">
        <f t="shared" si="17"/>
        <v>0.000299473</v>
      </c>
      <c r="L480" s="20" t="s">
        <v>314</v>
      </c>
    </row>
    <row r="481" ht="41.25" customHeight="1" spans="1:12">
      <c r="A481" s="14" t="s">
        <v>1213</v>
      </c>
      <c r="B481" s="15" t="s">
        <v>1214</v>
      </c>
      <c r="C481" s="14">
        <v>1446</v>
      </c>
      <c r="D481" s="14">
        <v>6</v>
      </c>
      <c r="E481" s="16">
        <v>0.0047</v>
      </c>
      <c r="F481" s="17" t="s">
        <v>1213</v>
      </c>
      <c r="G481" s="21" t="s">
        <v>172</v>
      </c>
      <c r="H481" s="17">
        <v>1406</v>
      </c>
      <c r="I481" s="17">
        <v>8</v>
      </c>
      <c r="J481" s="26">
        <v>0.005790917</v>
      </c>
      <c r="K481" s="20">
        <f t="shared" si="17"/>
        <v>0.001090917</v>
      </c>
      <c r="L481" s="20" t="s">
        <v>314</v>
      </c>
    </row>
    <row r="482" ht="68.25" customHeight="1" spans="1:12">
      <c r="A482" s="14" t="s">
        <v>1215</v>
      </c>
      <c r="B482" s="15" t="s">
        <v>1216</v>
      </c>
      <c r="C482" s="14">
        <v>264</v>
      </c>
      <c r="D482" s="14">
        <v>2</v>
      </c>
      <c r="E482" s="16">
        <v>0.0081</v>
      </c>
      <c r="F482" s="17" t="s">
        <v>1215</v>
      </c>
      <c r="G482" s="21" t="s">
        <v>220</v>
      </c>
      <c r="H482" s="17">
        <v>1268</v>
      </c>
      <c r="I482" s="17">
        <v>6</v>
      </c>
      <c r="J482" s="26">
        <v>0.004957188</v>
      </c>
      <c r="K482" s="20">
        <f t="shared" si="17"/>
        <v>-0.003142812</v>
      </c>
      <c r="L482" s="20" t="s">
        <v>314</v>
      </c>
    </row>
    <row r="483" ht="68.25" customHeight="1" spans="1:12">
      <c r="A483" s="14" t="s">
        <v>1217</v>
      </c>
      <c r="B483" s="15" t="s">
        <v>884</v>
      </c>
      <c r="C483" s="14">
        <v>1169</v>
      </c>
      <c r="D483" s="14">
        <v>11</v>
      </c>
      <c r="E483" s="16">
        <v>0.0099</v>
      </c>
      <c r="F483" s="17" t="s">
        <v>1217</v>
      </c>
      <c r="G483" s="18" t="s">
        <v>884</v>
      </c>
      <c r="H483" s="17">
        <v>1280</v>
      </c>
      <c r="I483" s="17">
        <v>11</v>
      </c>
      <c r="J483" s="26">
        <v>0.009261326</v>
      </c>
      <c r="K483" s="20">
        <f t="shared" si="17"/>
        <v>-0.000638674000000001</v>
      </c>
      <c r="L483" s="20" t="s">
        <v>314</v>
      </c>
    </row>
    <row r="484" ht="68.25" customHeight="1" spans="1:12">
      <c r="A484" s="14" t="s">
        <v>1218</v>
      </c>
      <c r="B484" s="15" t="s">
        <v>1219</v>
      </c>
      <c r="C484" s="14">
        <v>1254</v>
      </c>
      <c r="D484" s="14">
        <v>4</v>
      </c>
      <c r="E484" s="16">
        <v>0.0035</v>
      </c>
      <c r="F484" s="17" t="s">
        <v>1218</v>
      </c>
      <c r="G484" s="21" t="s">
        <v>173</v>
      </c>
      <c r="H484" s="17">
        <v>1389</v>
      </c>
      <c r="I484" s="17">
        <v>7</v>
      </c>
      <c r="J484" s="26">
        <v>0.005036489</v>
      </c>
      <c r="K484" s="20">
        <f t="shared" si="17"/>
        <v>0.001536489</v>
      </c>
      <c r="L484" s="20" t="s">
        <v>314</v>
      </c>
    </row>
    <row r="485" ht="68.25" customHeight="1" spans="1:12">
      <c r="A485" s="14" t="s">
        <v>1220</v>
      </c>
      <c r="B485" s="15" t="s">
        <v>1072</v>
      </c>
      <c r="C485" s="14">
        <v>1182</v>
      </c>
      <c r="D485" s="14">
        <v>8</v>
      </c>
      <c r="E485" s="16">
        <v>0.0071</v>
      </c>
      <c r="F485" s="17" t="s">
        <v>1220</v>
      </c>
      <c r="G485" s="21" t="s">
        <v>222</v>
      </c>
      <c r="H485" s="17">
        <v>1283</v>
      </c>
      <c r="I485" s="17">
        <v>5</v>
      </c>
      <c r="J485" s="26">
        <v>0.003894948</v>
      </c>
      <c r="K485" s="20">
        <f t="shared" si="17"/>
        <v>-0.003205052</v>
      </c>
      <c r="L485" s="20" t="s">
        <v>314</v>
      </c>
    </row>
    <row r="486" ht="54.75" customHeight="1" spans="1:12">
      <c r="A486" s="14" t="s">
        <v>1221</v>
      </c>
      <c r="B486" s="15" t="s">
        <v>1222</v>
      </c>
      <c r="C486" s="14">
        <v>668</v>
      </c>
      <c r="D486" s="14">
        <v>7</v>
      </c>
      <c r="E486" s="16">
        <v>0.0115</v>
      </c>
      <c r="F486" s="17" t="s">
        <v>1221</v>
      </c>
      <c r="G486" s="18" t="s">
        <v>1222</v>
      </c>
      <c r="H486" s="17">
        <v>211</v>
      </c>
      <c r="I486" s="17">
        <v>3</v>
      </c>
      <c r="J486" s="19">
        <v>0.014179608</v>
      </c>
      <c r="K486" s="20">
        <f t="shared" si="17"/>
        <v>0.002679608</v>
      </c>
      <c r="L486" s="20"/>
    </row>
  </sheetData>
  <autoFilter xmlns:etc="http://www.wps.cn/officeDocument/2017/etCustomData" ref="A1:XEV1048576" etc:filterBottomFollowUsedRange="0">
    <extLst/>
  </autoFilter>
  <mergeCells count="3">
    <mergeCell ref="A1:E1"/>
    <mergeCell ref="F1:J1"/>
    <mergeCell ref="K1:K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selection activeCell="A1" sqref="A1"/>
    </sheetView>
  </sheetViews>
  <sheetFormatPr defaultColWidth="10" defaultRowHeight="16.5" customHeight="1" outlineLevelCol="4"/>
  <cols>
    <col min="3" max="3" width="18.625" customWidth="1"/>
    <col min="4" max="4" width="18.125" customWidth="1"/>
    <col min="5" max="5" width="17" customWidth="1"/>
  </cols>
  <sheetData>
    <row r="1" customHeight="1" spans="1:5">
      <c r="A1" t="s">
        <v>1223</v>
      </c>
      <c r="B1" t="s">
        <v>1224</v>
      </c>
      <c r="C1" t="s">
        <v>279</v>
      </c>
      <c r="D1" t="s">
        <v>280</v>
      </c>
      <c r="E1" t="s">
        <v>281</v>
      </c>
    </row>
    <row r="2" ht="17.6" spans="1:5">
      <c r="A2" t="s">
        <v>1225</v>
      </c>
      <c r="B2">
        <v>23</v>
      </c>
      <c r="C2">
        <v>19712</v>
      </c>
      <c r="D2">
        <v>412</v>
      </c>
      <c r="E2" s="1">
        <f t="shared" ref="E2:E16" si="0">D2/C2</f>
        <v>0.020900974025974</v>
      </c>
    </row>
    <row r="3" ht="17.6" spans="1:5">
      <c r="A3" t="s">
        <v>1226</v>
      </c>
      <c r="B3">
        <v>29</v>
      </c>
      <c r="C3">
        <v>31153</v>
      </c>
      <c r="D3">
        <v>419</v>
      </c>
      <c r="E3" s="1">
        <f t="shared" si="0"/>
        <v>0.0134497480178474</v>
      </c>
    </row>
    <row r="4" ht="17.6" spans="1:5">
      <c r="A4" t="s">
        <v>1227</v>
      </c>
      <c r="B4">
        <v>29</v>
      </c>
      <c r="C4">
        <v>40835</v>
      </c>
      <c r="D4">
        <v>541</v>
      </c>
      <c r="E4" s="1">
        <f t="shared" si="0"/>
        <v>0.0132484388392311</v>
      </c>
    </row>
    <row r="5" ht="17.6" spans="1:5">
      <c r="A5" t="s">
        <v>1228</v>
      </c>
      <c r="B5">
        <v>27</v>
      </c>
      <c r="C5">
        <v>38195</v>
      </c>
      <c r="D5">
        <v>439</v>
      </c>
      <c r="E5" s="1">
        <f t="shared" si="0"/>
        <v>0.01149365100144</v>
      </c>
    </row>
    <row r="6" ht="17.6" spans="1:5">
      <c r="A6" t="s">
        <v>1229</v>
      </c>
      <c r="B6">
        <v>29</v>
      </c>
      <c r="C6">
        <v>36833</v>
      </c>
      <c r="D6">
        <v>395</v>
      </c>
      <c r="E6" s="1">
        <f t="shared" si="0"/>
        <v>0.0107240789509407</v>
      </c>
    </row>
    <row r="7" ht="17.6" spans="1:5">
      <c r="A7" t="s">
        <v>1230</v>
      </c>
      <c r="B7">
        <v>28</v>
      </c>
      <c r="C7">
        <v>36102</v>
      </c>
      <c r="D7">
        <v>399</v>
      </c>
      <c r="E7" s="1">
        <f t="shared" si="0"/>
        <v>0.0110520192787103</v>
      </c>
    </row>
    <row r="8" ht="17.6" spans="1:5">
      <c r="A8" t="s">
        <v>1231</v>
      </c>
      <c r="B8">
        <v>27</v>
      </c>
      <c r="C8">
        <v>36036</v>
      </c>
      <c r="D8">
        <v>338</v>
      </c>
      <c r="E8" s="1">
        <f t="shared" si="0"/>
        <v>0.00937950937950938</v>
      </c>
    </row>
    <row r="9" ht="17.6" spans="1:5">
      <c r="A9" t="s">
        <v>1232</v>
      </c>
      <c r="B9">
        <v>28</v>
      </c>
      <c r="C9">
        <v>29963</v>
      </c>
      <c r="D9">
        <v>244</v>
      </c>
      <c r="E9" s="1">
        <f t="shared" si="0"/>
        <v>0.00814337683142542</v>
      </c>
    </row>
    <row r="10" ht="17.6" spans="1:5">
      <c r="A10" t="s">
        <v>1233</v>
      </c>
      <c r="B10">
        <v>28</v>
      </c>
      <c r="C10">
        <v>33203</v>
      </c>
      <c r="D10">
        <v>280</v>
      </c>
      <c r="E10" s="1">
        <f t="shared" si="0"/>
        <v>0.00843297292413336</v>
      </c>
    </row>
    <row r="11" ht="17.6" spans="1:5">
      <c r="A11" t="s">
        <v>1234</v>
      </c>
      <c r="B11">
        <v>19</v>
      </c>
      <c r="C11">
        <v>21142</v>
      </c>
      <c r="D11">
        <v>180</v>
      </c>
      <c r="E11" s="1">
        <f t="shared" si="0"/>
        <v>0.00851385866994608</v>
      </c>
    </row>
    <row r="12" ht="17.6" spans="1:5">
      <c r="A12" t="s">
        <v>1235</v>
      </c>
      <c r="B12">
        <v>22</v>
      </c>
      <c r="C12">
        <v>25782</v>
      </c>
      <c r="D12">
        <v>197</v>
      </c>
      <c r="E12" s="1">
        <f t="shared" si="0"/>
        <v>0.00764098983787138</v>
      </c>
    </row>
    <row r="13" ht="17.6" spans="1:5">
      <c r="A13" t="s">
        <v>1236</v>
      </c>
      <c r="B13">
        <v>18</v>
      </c>
      <c r="C13">
        <v>16517</v>
      </c>
      <c r="D13">
        <v>136</v>
      </c>
      <c r="E13" s="1">
        <f t="shared" si="0"/>
        <v>0.00823394078827874</v>
      </c>
    </row>
    <row r="14" ht="17.6" spans="1:5">
      <c r="A14" t="s">
        <v>1237</v>
      </c>
      <c r="E14" s="1" t="e">
        <f t="shared" si="0"/>
        <v>#DIV/0!</v>
      </c>
    </row>
    <row r="15" ht="17.6" spans="1:5">
      <c r="A15" t="s">
        <v>1238</v>
      </c>
      <c r="B15">
        <v>179</v>
      </c>
      <c r="C15">
        <v>242744</v>
      </c>
      <c r="D15">
        <v>1640</v>
      </c>
      <c r="E15" s="1">
        <f t="shared" si="0"/>
        <v>0.00675608871897967</v>
      </c>
    </row>
    <row r="16" ht="17.6" spans="1:5">
      <c r="A16" t="s">
        <v>1239</v>
      </c>
      <c r="B16">
        <f>SUM(B2:B15)</f>
        <v>486</v>
      </c>
      <c r="C16">
        <f>SUM(C2:C15)</f>
        <v>608217</v>
      </c>
      <c r="D16">
        <f>SUM(D2:D15)</f>
        <v>5620</v>
      </c>
      <c r="E16" s="1">
        <f t="shared" si="0"/>
        <v>0.0092401231797204</v>
      </c>
    </row>
    <row r="17" ht="17.6" spans="5:5">
      <c r="E17" s="1"/>
    </row>
    <row r="18" ht="17.6" spans="5:5">
      <c r="E18" s="1"/>
    </row>
    <row r="19" ht="17.6" spans="5:5">
      <c r="E19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开发上传第一批</vt:lpstr>
      <vt:lpstr>开发上传第二批</vt:lpstr>
      <vt:lpstr>二次优化</vt:lpstr>
      <vt:lpstr>push数据（分年龄）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yeah_烨程</cp:lastModifiedBy>
  <dcterms:created xsi:type="dcterms:W3CDTF">2006-09-16T08:00:00Z</dcterms:created>
  <dcterms:modified xsi:type="dcterms:W3CDTF">2026-03-13T10:38:18Z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1852B18D2BC7AD1F8378B3694ED9641F_42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